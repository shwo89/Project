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"/>
    </mc:Choice>
  </mc:AlternateContent>
  <bookViews>
    <workbookView xWindow="0" yWindow="0" windowWidth="20925" windowHeight="9840"/>
  </bookViews>
  <sheets>
    <sheet name="Sheet1" sheetId="1" r:id="rId1"/>
    <sheet name="Sheet2" sheetId="2" r:id="rId2"/>
    <sheet name="Sheet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H79" i="1" l="1"/>
  <c r="H78" i="1"/>
  <c r="H77" i="1"/>
  <c r="H76" i="1"/>
  <c r="H75" i="1"/>
  <c r="H74" i="1"/>
  <c r="H73" i="1"/>
  <c r="H69" i="1"/>
  <c r="H68" i="1"/>
  <c r="H67" i="1"/>
  <c r="H66" i="1"/>
  <c r="H65" i="1"/>
  <c r="H64" i="1"/>
  <c r="H63" i="1"/>
  <c r="H59" i="1"/>
  <c r="H58" i="1"/>
  <c r="H57" i="1"/>
  <c r="H53" i="1"/>
  <c r="H52" i="1"/>
  <c r="H51" i="1"/>
  <c r="H50" i="1"/>
  <c r="H49" i="1"/>
  <c r="H48" i="1"/>
  <c r="H47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1" i="1"/>
  <c r="H10" i="1"/>
  <c r="H9" i="1"/>
  <c r="H8" i="1"/>
  <c r="H7" i="1"/>
  <c r="H6" i="1"/>
  <c r="H5" i="1"/>
  <c r="K1" i="1" l="1"/>
</calcChain>
</file>

<file path=xl/sharedStrings.xml><?xml version="1.0" encoding="utf-8"?>
<sst xmlns="http://schemas.openxmlformats.org/spreadsheetml/2006/main" count="409" uniqueCount="103">
  <si>
    <t>220kV莲平Ⅱ线</t>
  </si>
  <si>
    <t>序号</t>
  </si>
  <si>
    <t>名称</t>
  </si>
  <si>
    <t>型号</t>
  </si>
  <si>
    <t>单位</t>
  </si>
  <si>
    <t>每串数量</t>
  </si>
  <si>
    <t>每基串数</t>
  </si>
  <si>
    <t>铁塔数量</t>
  </si>
  <si>
    <t>球头挂环</t>
  </si>
  <si>
    <t>QP-7</t>
  </si>
  <si>
    <t>个</t>
  </si>
  <si>
    <t>UB型挂板</t>
  </si>
  <si>
    <t>UB-10</t>
  </si>
  <si>
    <t>碗头挂板</t>
  </si>
  <si>
    <t>W-7A</t>
  </si>
  <si>
    <t>U型挂环</t>
  </si>
  <si>
    <t>U-12</t>
  </si>
  <si>
    <t>玻璃绝缘子</t>
  </si>
  <si>
    <t>U70BLP-2</t>
  </si>
  <si>
    <t>片</t>
  </si>
  <si>
    <t>耐张线夹</t>
  </si>
  <si>
    <t>NY-300/25</t>
  </si>
  <si>
    <t>U-10</t>
  </si>
  <si>
    <t>PS-7</t>
  </si>
  <si>
    <t>延长环</t>
  </si>
  <si>
    <t>PH-10</t>
  </si>
  <si>
    <t>套</t>
  </si>
  <si>
    <t>绝缘子</t>
  </si>
  <si>
    <t>预绞式双悬垂线夹</t>
  </si>
  <si>
    <t>CLS-300/25</t>
  </si>
  <si>
    <t>间隔棒</t>
  </si>
  <si>
    <t>FJQ-205</t>
  </si>
  <si>
    <t>调整板</t>
  </si>
  <si>
    <t>DB-10</t>
  </si>
  <si>
    <t>嵌 环</t>
  </si>
  <si>
    <t>NL-100BG</t>
  </si>
  <si>
    <t>外绞丝</t>
  </si>
  <si>
    <t>U-32S</t>
  </si>
  <si>
    <t>接地端子</t>
  </si>
  <si>
    <t>DB-100BG</t>
  </si>
  <si>
    <t>PH-25</t>
  </si>
  <si>
    <t>U-25</t>
  </si>
  <si>
    <t>P型挂板</t>
  </si>
  <si>
    <t>L-1040</t>
  </si>
  <si>
    <t>Z-7</t>
  </si>
  <si>
    <t>Z-10</t>
  </si>
  <si>
    <t>P-7</t>
  </si>
  <si>
    <t>DB-7</t>
  </si>
  <si>
    <t>U-7</t>
  </si>
  <si>
    <t>悬垂线夹</t>
  </si>
  <si>
    <t>XTS-2B</t>
  </si>
  <si>
    <t>铝包带</t>
  </si>
  <si>
    <t>1×10mm</t>
  </si>
  <si>
    <t>m</t>
  </si>
  <si>
    <t>直角挂环</t>
  </si>
  <si>
    <t>ZH-7</t>
  </si>
  <si>
    <t>预绞式线夹</t>
  </si>
  <si>
    <t>CL-100BG</t>
  </si>
  <si>
    <t>导线防振锤</t>
  </si>
  <si>
    <t>地线防振锤</t>
  </si>
  <si>
    <t>导线接续管</t>
  </si>
  <si>
    <t>JYD-300/25</t>
  </si>
  <si>
    <t>合计</t>
  </si>
  <si>
    <r>
      <t>挂</t>
    </r>
    <r>
      <rPr>
        <sz val="10"/>
        <color indexed="8"/>
        <rFont val="宋体"/>
        <family val="3"/>
        <charset val="134"/>
      </rPr>
      <t xml:space="preserve">  </t>
    </r>
    <r>
      <rPr>
        <sz val="10"/>
        <color indexed="8"/>
        <rFont val="宋体"/>
        <family val="3"/>
        <charset val="134"/>
      </rPr>
      <t>环</t>
    </r>
  </si>
  <si>
    <r>
      <t>挂</t>
    </r>
    <r>
      <rPr>
        <sz val="10"/>
        <color indexed="8"/>
        <rFont val="宋体"/>
        <family val="3"/>
        <charset val="134"/>
      </rPr>
      <t xml:space="preserve">  </t>
    </r>
    <r>
      <rPr>
        <sz val="10"/>
        <color indexed="8"/>
        <rFont val="宋体"/>
        <family val="3"/>
        <charset val="134"/>
      </rPr>
      <t>板</t>
    </r>
  </si>
  <si>
    <r>
      <t>2</t>
    </r>
    <r>
      <rPr>
        <b/>
        <sz val="11"/>
        <rFont val="宋体"/>
        <family val="3"/>
        <charset val="134"/>
      </rPr>
      <t>、导线双联耐张串金具组装图</t>
    </r>
    <r>
      <rPr>
        <b/>
        <sz val="11"/>
        <rFont val="Times New Roman"/>
        <family val="1"/>
      </rPr>
      <t xml:space="preserve">  </t>
    </r>
    <r>
      <rPr>
        <b/>
        <sz val="11"/>
        <rFont val="宋体"/>
        <family val="3"/>
        <charset val="134"/>
      </rPr>
      <t>共计</t>
    </r>
    <r>
      <rPr>
        <b/>
        <sz val="11"/>
        <rFont val="Times New Roman"/>
        <family val="1"/>
      </rPr>
      <t>4</t>
    </r>
    <r>
      <rPr>
        <b/>
        <sz val="11"/>
        <rFont val="宋体"/>
        <family val="3"/>
        <charset val="134"/>
      </rPr>
      <t>基</t>
    </r>
    <r>
      <rPr>
        <b/>
        <sz val="11"/>
        <rFont val="Times New Roman"/>
        <family val="1"/>
      </rPr>
      <t xml:space="preserve">  </t>
    </r>
  </si>
  <si>
    <r>
      <t>联</t>
    </r>
    <r>
      <rPr>
        <sz val="10"/>
        <color indexed="8"/>
        <rFont val="宋体"/>
        <family val="3"/>
        <charset val="134"/>
      </rPr>
      <t xml:space="preserve">  </t>
    </r>
    <r>
      <rPr>
        <sz val="10"/>
        <color indexed="8"/>
        <rFont val="宋体"/>
        <family val="3"/>
        <charset val="134"/>
      </rPr>
      <t>板</t>
    </r>
  </si>
  <si>
    <t>L-2540</t>
  </si>
  <si>
    <t>Z-12</t>
  </si>
  <si>
    <t>QP-12</t>
  </si>
  <si>
    <t>U120BLP-2</t>
  </si>
  <si>
    <t>W1-12</t>
  </si>
  <si>
    <t>Z-25</t>
  </si>
  <si>
    <t>P-12</t>
  </si>
  <si>
    <t>调 整 板</t>
  </si>
  <si>
    <t>DB-12</t>
  </si>
  <si>
    <r>
      <t>3</t>
    </r>
    <r>
      <rPr>
        <b/>
        <sz val="11"/>
        <rFont val="宋体"/>
        <family val="3"/>
        <charset val="134"/>
      </rPr>
      <t>、导线双联耐张串金具组装图</t>
    </r>
    <r>
      <rPr>
        <b/>
        <sz val="11"/>
        <rFont val="Times New Roman"/>
        <family val="1"/>
      </rPr>
      <t xml:space="preserve">  </t>
    </r>
    <r>
      <rPr>
        <b/>
        <sz val="11"/>
        <rFont val="宋体"/>
        <family val="3"/>
        <charset val="134"/>
      </rPr>
      <t>共计</t>
    </r>
    <r>
      <rPr>
        <b/>
        <sz val="11"/>
        <rFont val="Times New Roman"/>
        <family val="1"/>
      </rPr>
      <t>2</t>
    </r>
    <r>
      <rPr>
        <b/>
        <sz val="11"/>
        <rFont val="宋体"/>
        <family val="3"/>
        <charset val="134"/>
      </rPr>
      <t>基</t>
    </r>
    <r>
      <rPr>
        <b/>
        <sz val="11"/>
        <rFont val="Times New Roman"/>
        <family val="1"/>
      </rPr>
      <t xml:space="preserve">  </t>
    </r>
    <r>
      <rPr>
        <b/>
        <sz val="11"/>
        <rFont val="宋体"/>
        <family val="3"/>
        <charset val="134"/>
      </rPr>
      <t>（用于#60、#69）</t>
    </r>
  </si>
  <si>
    <r>
      <t>4</t>
    </r>
    <r>
      <rPr>
        <b/>
        <sz val="12"/>
        <rFont val="宋体"/>
        <family val="3"/>
        <charset val="134"/>
      </rPr>
      <t>、导线跳线串金具组装图 （跳线串-双串）</t>
    </r>
    <r>
      <rPr>
        <b/>
        <sz val="12"/>
        <rFont val="Times New Roman"/>
        <family val="1"/>
      </rPr>
      <t xml:space="preserve">  </t>
    </r>
    <r>
      <rPr>
        <b/>
        <sz val="12"/>
        <rFont val="宋体"/>
        <family val="3"/>
        <charset val="134"/>
      </rPr>
      <t>共计</t>
    </r>
    <r>
      <rPr>
        <b/>
        <sz val="12"/>
        <rFont val="Times New Roman"/>
        <family val="1"/>
      </rPr>
      <t>4</t>
    </r>
    <r>
      <rPr>
        <b/>
        <sz val="12"/>
        <rFont val="宋体"/>
        <family val="3"/>
        <charset val="134"/>
      </rPr>
      <t>基</t>
    </r>
    <r>
      <rPr>
        <b/>
        <sz val="12"/>
        <rFont val="Times New Roman"/>
        <family val="1"/>
      </rPr>
      <t xml:space="preserve">  </t>
    </r>
  </si>
  <si>
    <t>UB挂板</t>
  </si>
  <si>
    <r>
      <t>5</t>
    </r>
    <r>
      <rPr>
        <b/>
        <sz val="11"/>
        <rFont val="宋体"/>
        <family val="3"/>
        <charset val="134"/>
      </rPr>
      <t>、</t>
    </r>
    <r>
      <rPr>
        <b/>
        <sz val="11"/>
        <rFont val="Times New Roman"/>
        <family val="1"/>
      </rPr>
      <t xml:space="preserve">  </t>
    </r>
    <r>
      <rPr>
        <b/>
        <sz val="11"/>
        <rFont val="宋体"/>
        <family val="3"/>
        <charset val="134"/>
      </rPr>
      <t>地线悬垂串</t>
    </r>
    <r>
      <rPr>
        <b/>
        <sz val="11"/>
        <rFont val="Times New Roman"/>
        <family val="1"/>
      </rPr>
      <t xml:space="preserve">   </t>
    </r>
    <r>
      <rPr>
        <b/>
        <sz val="11"/>
        <rFont val="宋体"/>
        <family val="3"/>
        <charset val="134"/>
      </rPr>
      <t>共计</t>
    </r>
    <r>
      <rPr>
        <b/>
        <sz val="11"/>
        <rFont val="Times New Roman"/>
        <family val="1"/>
      </rPr>
      <t>6</t>
    </r>
    <r>
      <rPr>
        <b/>
        <sz val="11"/>
        <rFont val="宋体"/>
        <family val="3"/>
        <charset val="134"/>
      </rPr>
      <t>基</t>
    </r>
    <r>
      <rPr>
        <b/>
        <sz val="11"/>
        <rFont val="Times New Roman"/>
        <family val="1"/>
      </rPr>
      <t xml:space="preserve">  </t>
    </r>
  </si>
  <si>
    <t>U型挂板</t>
  </si>
  <si>
    <t>U-B10</t>
  </si>
  <si>
    <r>
      <t>6</t>
    </r>
    <r>
      <rPr>
        <b/>
        <sz val="11"/>
        <rFont val="宋体"/>
        <family val="3"/>
        <charset val="134"/>
      </rPr>
      <t>、</t>
    </r>
    <r>
      <rPr>
        <b/>
        <sz val="11"/>
        <rFont val="Times New Roman"/>
        <family val="1"/>
      </rPr>
      <t xml:space="preserve">  </t>
    </r>
    <r>
      <rPr>
        <b/>
        <sz val="11"/>
        <rFont val="宋体"/>
        <family val="3"/>
        <charset val="134"/>
      </rPr>
      <t>地线耐张串</t>
    </r>
    <r>
      <rPr>
        <b/>
        <sz val="11"/>
        <rFont val="Times New Roman"/>
        <family val="1"/>
      </rPr>
      <t xml:space="preserve"> 4</t>
    </r>
    <r>
      <rPr>
        <b/>
        <sz val="11"/>
        <rFont val="宋体"/>
        <family val="3"/>
        <charset val="134"/>
      </rPr>
      <t>基</t>
    </r>
    <r>
      <rPr>
        <b/>
        <sz val="11"/>
        <rFont val="Times New Roman"/>
        <family val="1"/>
      </rPr>
      <t xml:space="preserve">    </t>
    </r>
    <r>
      <rPr>
        <b/>
        <sz val="11"/>
        <rFont val="宋体"/>
        <family val="3"/>
        <charset val="134"/>
      </rPr>
      <t>共计</t>
    </r>
    <r>
      <rPr>
        <b/>
        <sz val="11"/>
        <rFont val="Times New Roman"/>
        <family val="1"/>
      </rPr>
      <t>4</t>
    </r>
    <r>
      <rPr>
        <b/>
        <sz val="11"/>
        <rFont val="宋体"/>
        <family val="3"/>
        <charset val="134"/>
      </rPr>
      <t>基</t>
    </r>
    <r>
      <rPr>
        <b/>
        <sz val="11"/>
        <rFont val="Times New Roman"/>
        <family val="1"/>
      </rPr>
      <t xml:space="preserve">  </t>
    </r>
  </si>
  <si>
    <r>
      <t>7</t>
    </r>
    <r>
      <rPr>
        <b/>
        <sz val="11"/>
        <rFont val="宋体"/>
        <family val="3"/>
        <charset val="134"/>
      </rPr>
      <t>、</t>
    </r>
    <r>
      <rPr>
        <b/>
        <sz val="11"/>
        <rFont val="Times New Roman"/>
        <family val="1"/>
      </rPr>
      <t xml:space="preserve">  </t>
    </r>
    <r>
      <rPr>
        <b/>
        <sz val="11"/>
        <rFont val="宋体"/>
        <family val="3"/>
        <charset val="134"/>
      </rPr>
      <t>地线耐张串</t>
    </r>
    <r>
      <rPr>
        <b/>
        <sz val="11"/>
        <rFont val="Times New Roman"/>
        <family val="1"/>
      </rPr>
      <t xml:space="preserve"> 2</t>
    </r>
    <r>
      <rPr>
        <b/>
        <sz val="11"/>
        <rFont val="宋体"/>
        <family val="3"/>
        <charset val="134"/>
      </rPr>
      <t>基</t>
    </r>
    <r>
      <rPr>
        <b/>
        <sz val="11"/>
        <rFont val="Times New Roman"/>
        <family val="1"/>
      </rPr>
      <t xml:space="preserve">    </t>
    </r>
    <r>
      <rPr>
        <b/>
        <sz val="11"/>
        <rFont val="宋体"/>
        <family val="3"/>
        <charset val="134"/>
      </rPr>
      <t>共计</t>
    </r>
    <r>
      <rPr>
        <b/>
        <sz val="11"/>
        <rFont val="Times New Roman"/>
        <family val="1"/>
      </rPr>
      <t>2</t>
    </r>
    <r>
      <rPr>
        <b/>
        <sz val="11"/>
        <rFont val="宋体"/>
        <family val="3"/>
        <charset val="134"/>
      </rPr>
      <t>基</t>
    </r>
    <r>
      <rPr>
        <b/>
        <sz val="11"/>
        <rFont val="Times New Roman"/>
        <family val="1"/>
      </rPr>
      <t xml:space="preserve">   </t>
    </r>
    <r>
      <rPr>
        <b/>
        <sz val="11"/>
        <rFont val="宋体"/>
        <family val="3"/>
        <charset val="134"/>
      </rPr>
      <t>（用于</t>
    </r>
    <r>
      <rPr>
        <b/>
        <sz val="11"/>
        <rFont val="Times New Roman"/>
        <family val="1"/>
      </rPr>
      <t>#60</t>
    </r>
    <r>
      <rPr>
        <b/>
        <sz val="11"/>
        <rFont val="宋体"/>
        <family val="3"/>
        <charset val="134"/>
      </rPr>
      <t>、</t>
    </r>
    <r>
      <rPr>
        <b/>
        <sz val="11"/>
        <rFont val="Times New Roman"/>
        <family val="1"/>
      </rPr>
      <t>#69</t>
    </r>
    <r>
      <rPr>
        <b/>
        <sz val="11"/>
        <rFont val="宋体"/>
        <family val="3"/>
        <charset val="134"/>
      </rPr>
      <t>）</t>
    </r>
  </si>
  <si>
    <r>
      <t>8</t>
    </r>
    <r>
      <rPr>
        <b/>
        <sz val="12"/>
        <rFont val="宋体"/>
        <family val="3"/>
        <charset val="134"/>
      </rPr>
      <t>、防振锤、间隔棒</t>
    </r>
  </si>
  <si>
    <t>FDZ-5</t>
  </si>
  <si>
    <t>FDZ-2T</t>
  </si>
  <si>
    <r>
      <t>1</t>
    </r>
    <r>
      <rPr>
        <b/>
        <sz val="11"/>
        <rFont val="宋体"/>
        <family val="3"/>
        <charset val="134"/>
      </rPr>
      <t>、导线双联悬垂串金具组装图</t>
    </r>
    <r>
      <rPr>
        <b/>
        <sz val="11"/>
        <rFont val="Times New Roman"/>
        <family val="1"/>
      </rPr>
      <t xml:space="preserve">  </t>
    </r>
    <r>
      <rPr>
        <b/>
        <sz val="11"/>
        <rFont val="宋体"/>
        <family val="3"/>
        <charset val="134"/>
      </rPr>
      <t>共计</t>
    </r>
    <r>
      <rPr>
        <b/>
        <sz val="11"/>
        <rFont val="Times New Roman"/>
        <family val="1"/>
      </rPr>
      <t>6</t>
    </r>
    <r>
      <rPr>
        <b/>
        <sz val="11"/>
        <rFont val="宋体"/>
        <family val="3"/>
        <charset val="134"/>
      </rPr>
      <t>基</t>
    </r>
    <r>
      <rPr>
        <b/>
        <sz val="11"/>
        <rFont val="Times New Roman"/>
        <family val="1"/>
      </rPr>
      <t xml:space="preserve">  </t>
    </r>
    <phoneticPr fontId="14" type="noConversion"/>
  </si>
  <si>
    <t>设计用量</t>
    <phoneticPr fontId="14" type="noConversion"/>
  </si>
  <si>
    <t>由预绞式线夹供货商确定</t>
    <phoneticPr fontId="14" type="noConversion"/>
  </si>
  <si>
    <t>二、绝缘子、金具</t>
    <phoneticPr fontId="14" type="noConversion"/>
  </si>
  <si>
    <t>设计用量</t>
  </si>
  <si>
    <t>损耗量</t>
  </si>
  <si>
    <t>总量</t>
  </si>
  <si>
    <t>备注</t>
  </si>
  <si>
    <t>已考虑试验用3个</t>
  </si>
  <si>
    <t>已考虑试验用6个</t>
  </si>
  <si>
    <t>挂  环</t>
  </si>
  <si>
    <t>联  板</t>
  </si>
  <si>
    <t>挂  板</t>
  </si>
  <si>
    <t>三、预绞丝金具</t>
  </si>
  <si>
    <t>-</t>
  </si>
  <si>
    <t>由预绞式线夹供货商确定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</si>
</sst>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charset val="134"/>
      <scheme val="minor"/>
    </font>
    <font>
      <b/>
      <sz val="12"/>
      <color indexed="12"/>
      <name val="宋体"/>
      <family val="3"/>
      <charset val="134"/>
    </font>
    <font>
      <b/>
      <sz val="11"/>
      <name val="Times New Roman"/>
      <family val="1"/>
    </font>
    <font>
      <sz val="11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color rgb="FF000000"/>
      <name val="宋体"/>
      <family val="3"/>
      <charset val="134"/>
    </font>
    <font>
      <sz val="11"/>
      <name val="Times New Roman"/>
      <family val="1"/>
    </font>
    <font>
      <b/>
      <sz val="12"/>
      <name val="Times New Roman"/>
      <family val="1"/>
    </font>
    <font>
      <b/>
      <sz val="12"/>
      <color theme="1"/>
      <name val="宋体"/>
      <family val="3"/>
      <charset val="134"/>
      <scheme val="minor"/>
    </font>
    <font>
      <sz val="10.5"/>
      <name val="Calibri"/>
      <family val="2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0"/>
      <color indexed="8"/>
      <name val="宋体"/>
      <family val="3"/>
      <charset val="134"/>
    </font>
    <font>
      <b/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name val="Times New Roman"/>
      <family val="1"/>
    </font>
    <font>
      <b/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7" fillId="0" borderId="0" xfId="0" applyFont="1" applyBorder="1" applyAlignment="1">
      <alignment horizontal="left" vertical="center"/>
    </xf>
    <xf numFmtId="0" fontId="10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 wrapText="1"/>
    </xf>
    <xf numFmtId="0" fontId="2" fillId="0" borderId="0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15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0" fontId="17" fillId="0" borderId="6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0" fillId="0" borderId="1" xfId="0" applyBorder="1" applyAlignment="1">
      <alignment horizontal="center" vertical="justify"/>
    </xf>
    <xf numFmtId="0" fontId="17" fillId="0" borderId="5" xfId="0" applyFont="1" applyBorder="1" applyAlignment="1">
      <alignment horizontal="left" vertical="justify"/>
    </xf>
    <xf numFmtId="0" fontId="17" fillId="0" borderId="6" xfId="0" applyFont="1" applyBorder="1" applyAlignment="1">
      <alignment horizontal="left" vertical="justify"/>
    </xf>
    <xf numFmtId="0" fontId="17" fillId="0" borderId="7" xfId="0" applyFont="1" applyBorder="1" applyAlignment="1">
      <alignment horizontal="left" vertical="justify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A89"/>
  <sheetViews>
    <sheetView tabSelected="1" topLeftCell="G34" workbookViewId="0">
      <selection activeCell="M55" sqref="M55"/>
    </sheetView>
  </sheetViews>
  <sheetFormatPr defaultColWidth="9" defaultRowHeight="13.5"/>
  <cols>
    <col min="1" max="1" width="20.5" style="1" bestFit="1" customWidth="1"/>
    <col min="2" max="2" width="15" bestFit="1" customWidth="1"/>
    <col min="3" max="3" width="20.375" bestFit="1" customWidth="1"/>
    <col min="4" max="4" width="5.25" bestFit="1" customWidth="1"/>
    <col min="11" max="11" width="6.5" style="1" customWidth="1"/>
    <col min="12" max="12" width="17.25" style="1" customWidth="1"/>
    <col min="13" max="13" width="23.5" style="1" customWidth="1"/>
    <col min="14" max="14" width="5.25" style="1" customWidth="1"/>
    <col min="15" max="15" width="9" style="1" bestFit="1" customWidth="1"/>
    <col min="16" max="16" width="9" style="1"/>
    <col min="17" max="17" width="14.375" style="1" customWidth="1"/>
    <col min="18" max="18" width="16.25" style="1" bestFit="1" customWidth="1"/>
    <col min="19" max="20" width="9" style="1"/>
  </cols>
  <sheetData>
    <row r="1" spans="1:53" ht="13.5" customHeight="1">
      <c r="A1" s="25" t="s">
        <v>0</v>
      </c>
      <c r="B1" s="25"/>
      <c r="C1" s="25"/>
      <c r="D1" s="25"/>
      <c r="E1" s="25"/>
      <c r="F1" s="25"/>
      <c r="G1" s="25"/>
      <c r="H1" s="25"/>
      <c r="K1" s="24" t="str">
        <f>A1&amp;"材料汇总"</f>
        <v>220kV莲平Ⅱ线材料汇总</v>
      </c>
      <c r="L1" s="24"/>
      <c r="M1" s="24"/>
      <c r="N1" s="24"/>
      <c r="O1" s="24"/>
      <c r="P1" s="24"/>
      <c r="Q1" s="24"/>
      <c r="R1" s="24"/>
    </row>
    <row r="2" spans="1:53" ht="13.5" customHeight="1">
      <c r="A2" s="25"/>
      <c r="B2" s="25"/>
      <c r="C2" s="25"/>
      <c r="D2" s="25"/>
      <c r="E2" s="25"/>
      <c r="F2" s="25"/>
      <c r="G2" s="25"/>
      <c r="H2" s="25"/>
      <c r="K2" s="24"/>
      <c r="L2" s="24"/>
      <c r="M2" s="24"/>
      <c r="N2" s="24"/>
      <c r="O2" s="24"/>
      <c r="P2" s="24"/>
      <c r="Q2" s="24"/>
      <c r="R2" s="24"/>
    </row>
    <row r="3" spans="1:53" ht="13.5" customHeight="1">
      <c r="A3" s="16" t="s">
        <v>87</v>
      </c>
      <c r="B3" s="18"/>
      <c r="C3" s="18"/>
      <c r="D3" s="18"/>
      <c r="E3" s="18"/>
      <c r="F3" s="18"/>
      <c r="G3" s="18"/>
      <c r="H3" s="18"/>
      <c r="K3" s="28" t="s">
        <v>90</v>
      </c>
      <c r="L3" s="29"/>
      <c r="M3" s="29"/>
      <c r="N3" s="29"/>
      <c r="O3" s="29"/>
      <c r="P3" s="29"/>
      <c r="Q3" s="29"/>
      <c r="R3" s="30"/>
    </row>
    <row r="4" spans="1:53" s="1" customFormat="1">
      <c r="A4" s="2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2" t="s">
        <v>7</v>
      </c>
      <c r="H4" s="2" t="s">
        <v>88</v>
      </c>
      <c r="J4"/>
      <c r="K4" s="31" t="s">
        <v>1</v>
      </c>
      <c r="L4" s="31" t="s">
        <v>2</v>
      </c>
      <c r="M4" s="31" t="s">
        <v>3</v>
      </c>
      <c r="N4" s="31" t="s">
        <v>4</v>
      </c>
      <c r="O4" s="31" t="s">
        <v>91</v>
      </c>
      <c r="P4" s="31" t="s">
        <v>92</v>
      </c>
      <c r="Q4" s="31" t="s">
        <v>93</v>
      </c>
      <c r="R4" s="31" t="s">
        <v>94</v>
      </c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</row>
    <row r="5" spans="1:53" ht="15">
      <c r="A5" s="3">
        <v>1</v>
      </c>
      <c r="B5" s="3" t="s">
        <v>11</v>
      </c>
      <c r="C5" s="3" t="s">
        <v>12</v>
      </c>
      <c r="D5" s="3" t="s">
        <v>10</v>
      </c>
      <c r="E5" s="4">
        <v>2</v>
      </c>
      <c r="F5" s="5">
        <v>3</v>
      </c>
      <c r="G5" s="5">
        <v>6</v>
      </c>
      <c r="H5" s="5">
        <f t="shared" ref="H5:H11" si="0">E5*F5*G5</f>
        <v>36</v>
      </c>
      <c r="K5" s="31">
        <v>1</v>
      </c>
      <c r="L5" s="31" t="s">
        <v>15</v>
      </c>
      <c r="M5" s="31" t="s">
        <v>22</v>
      </c>
      <c r="N5" s="31" t="s">
        <v>10</v>
      </c>
      <c r="O5" s="31">
        <v>56</v>
      </c>
      <c r="P5" s="31">
        <v>1</v>
      </c>
      <c r="Q5" s="31">
        <v>57</v>
      </c>
      <c r="R5" s="31"/>
      <c r="S5"/>
      <c r="T5"/>
    </row>
    <row r="6" spans="1:53" ht="15">
      <c r="A6" s="3">
        <v>2</v>
      </c>
      <c r="B6" s="3" t="s">
        <v>8</v>
      </c>
      <c r="C6" s="3" t="s">
        <v>9</v>
      </c>
      <c r="D6" s="3" t="s">
        <v>10</v>
      </c>
      <c r="E6" s="4">
        <v>2</v>
      </c>
      <c r="F6" s="5">
        <v>3</v>
      </c>
      <c r="G6" s="5">
        <v>6</v>
      </c>
      <c r="H6" s="5">
        <f t="shared" si="0"/>
        <v>36</v>
      </c>
      <c r="K6" s="31">
        <v>2</v>
      </c>
      <c r="L6" s="31" t="s">
        <v>15</v>
      </c>
      <c r="M6" s="31" t="s">
        <v>16</v>
      </c>
      <c r="N6" s="31" t="s">
        <v>10</v>
      </c>
      <c r="O6" s="31">
        <v>64</v>
      </c>
      <c r="P6" s="31">
        <v>1</v>
      </c>
      <c r="Q6" s="31">
        <v>65</v>
      </c>
      <c r="R6" s="31"/>
      <c r="S6"/>
      <c r="T6"/>
    </row>
    <row r="7" spans="1:53" ht="15">
      <c r="A7" s="3">
        <v>3</v>
      </c>
      <c r="B7" s="3" t="s">
        <v>17</v>
      </c>
      <c r="C7" s="3" t="s">
        <v>18</v>
      </c>
      <c r="D7" s="3" t="s">
        <v>19</v>
      </c>
      <c r="E7" s="4">
        <v>32</v>
      </c>
      <c r="F7" s="5">
        <v>3</v>
      </c>
      <c r="G7" s="5">
        <v>6</v>
      </c>
      <c r="H7" s="5">
        <f t="shared" si="0"/>
        <v>576</v>
      </c>
      <c r="K7" s="31">
        <v>3</v>
      </c>
      <c r="L7" s="31" t="s">
        <v>60</v>
      </c>
      <c r="M7" s="31" t="s">
        <v>61</v>
      </c>
      <c r="N7" s="31" t="s">
        <v>10</v>
      </c>
      <c r="O7" s="31">
        <v>24</v>
      </c>
      <c r="P7" s="31">
        <v>4</v>
      </c>
      <c r="Q7" s="31">
        <v>28</v>
      </c>
      <c r="R7" s="31" t="s">
        <v>95</v>
      </c>
      <c r="S7"/>
      <c r="T7"/>
    </row>
    <row r="8" spans="1:53" ht="15">
      <c r="A8" s="3">
        <v>4</v>
      </c>
      <c r="B8" s="3" t="s">
        <v>13</v>
      </c>
      <c r="C8" s="3" t="s">
        <v>14</v>
      </c>
      <c r="D8" s="3" t="s">
        <v>10</v>
      </c>
      <c r="E8" s="4">
        <v>2</v>
      </c>
      <c r="F8" s="5">
        <v>3</v>
      </c>
      <c r="G8" s="5">
        <v>6</v>
      </c>
      <c r="H8" s="5">
        <f t="shared" si="0"/>
        <v>36</v>
      </c>
      <c r="K8" s="31">
        <v>4</v>
      </c>
      <c r="L8" s="31" t="s">
        <v>24</v>
      </c>
      <c r="M8" s="31" t="s">
        <v>25</v>
      </c>
      <c r="N8" s="31" t="s">
        <v>10</v>
      </c>
      <c r="O8" s="31">
        <v>26</v>
      </c>
      <c r="P8" s="31">
        <v>1</v>
      </c>
      <c r="Q8" s="31">
        <v>27</v>
      </c>
      <c r="R8" s="31"/>
      <c r="S8"/>
      <c r="T8"/>
    </row>
    <row r="9" spans="1:53" ht="15">
      <c r="A9" s="3">
        <v>5</v>
      </c>
      <c r="B9" s="3" t="s">
        <v>63</v>
      </c>
      <c r="C9" s="3" t="s">
        <v>23</v>
      </c>
      <c r="D9" s="3" t="s">
        <v>10</v>
      </c>
      <c r="E9" s="4">
        <v>2</v>
      </c>
      <c r="F9" s="5">
        <v>3</v>
      </c>
      <c r="G9" s="5">
        <v>6</v>
      </c>
      <c r="H9" s="5">
        <f t="shared" si="0"/>
        <v>36</v>
      </c>
      <c r="K9" s="31">
        <v>5</v>
      </c>
      <c r="L9" s="31" t="s">
        <v>38</v>
      </c>
      <c r="M9" s="31" t="s">
        <v>39</v>
      </c>
      <c r="N9" s="31" t="s">
        <v>10</v>
      </c>
      <c r="O9" s="31">
        <v>20</v>
      </c>
      <c r="P9" s="31">
        <v>1</v>
      </c>
      <c r="Q9" s="31">
        <v>21</v>
      </c>
      <c r="R9" s="31"/>
      <c r="S9"/>
      <c r="T9"/>
    </row>
    <row r="10" spans="1:53" ht="15">
      <c r="A10" s="3">
        <v>6</v>
      </c>
      <c r="B10" s="3" t="s">
        <v>64</v>
      </c>
      <c r="C10" s="3" t="s">
        <v>89</v>
      </c>
      <c r="D10" s="3" t="s">
        <v>26</v>
      </c>
      <c r="E10" s="4">
        <v>2</v>
      </c>
      <c r="F10" s="5">
        <v>3</v>
      </c>
      <c r="G10" s="5">
        <v>6</v>
      </c>
      <c r="H10" s="5">
        <f t="shared" si="0"/>
        <v>36</v>
      </c>
      <c r="K10" s="31">
        <v>6</v>
      </c>
      <c r="L10" s="31" t="s">
        <v>8</v>
      </c>
      <c r="M10" s="31" t="s">
        <v>9</v>
      </c>
      <c r="N10" s="31" t="s">
        <v>10</v>
      </c>
      <c r="O10" s="31">
        <v>52</v>
      </c>
      <c r="P10" s="31">
        <v>1</v>
      </c>
      <c r="Q10" s="31">
        <v>53</v>
      </c>
      <c r="R10" s="31"/>
      <c r="S10"/>
      <c r="T10"/>
    </row>
    <row r="11" spans="1:53" ht="15">
      <c r="A11" s="3">
        <v>7</v>
      </c>
      <c r="B11" s="3" t="s">
        <v>28</v>
      </c>
      <c r="C11" s="3" t="s">
        <v>29</v>
      </c>
      <c r="D11" s="3" t="s">
        <v>26</v>
      </c>
      <c r="E11" s="4">
        <v>2</v>
      </c>
      <c r="F11" s="5">
        <v>3</v>
      </c>
      <c r="G11" s="5">
        <v>6</v>
      </c>
      <c r="H11" s="5">
        <f t="shared" si="0"/>
        <v>36</v>
      </c>
      <c r="K11" s="31">
        <v>7</v>
      </c>
      <c r="L11" s="31" t="s">
        <v>13</v>
      </c>
      <c r="M11" s="31" t="s">
        <v>14</v>
      </c>
      <c r="N11" s="31" t="s">
        <v>10</v>
      </c>
      <c r="O11" s="31">
        <v>52</v>
      </c>
      <c r="P11" s="31">
        <v>1</v>
      </c>
      <c r="Q11" s="31">
        <v>53</v>
      </c>
      <c r="R11" s="31"/>
      <c r="S11"/>
      <c r="T11"/>
    </row>
    <row r="12" spans="1:53" ht="15">
      <c r="A12" s="6"/>
      <c r="B12" s="6"/>
      <c r="C12" s="6"/>
      <c r="D12" s="6"/>
      <c r="E12" s="7"/>
      <c r="F12" s="8"/>
      <c r="G12" s="8"/>
      <c r="H12" s="8"/>
      <c r="K12" s="31">
        <v>8</v>
      </c>
      <c r="L12" s="31" t="s">
        <v>27</v>
      </c>
      <c r="M12" s="31" t="s">
        <v>18</v>
      </c>
      <c r="N12" s="31" t="s">
        <v>19</v>
      </c>
      <c r="O12" s="31">
        <v>256</v>
      </c>
      <c r="P12" s="31">
        <v>6</v>
      </c>
      <c r="Q12" s="31">
        <v>262</v>
      </c>
      <c r="R12" s="31"/>
      <c r="S12"/>
      <c r="T12"/>
    </row>
    <row r="13" spans="1:53" ht="14.25">
      <c r="A13" s="16" t="s">
        <v>65</v>
      </c>
      <c r="B13" s="18"/>
      <c r="C13" s="18"/>
      <c r="D13" s="18"/>
      <c r="E13" s="18"/>
      <c r="F13" s="18"/>
      <c r="G13" s="18"/>
      <c r="H13" s="18"/>
      <c r="K13" s="31">
        <v>9</v>
      </c>
      <c r="L13" s="31" t="s">
        <v>20</v>
      </c>
      <c r="M13" s="31" t="s">
        <v>21</v>
      </c>
      <c r="N13" s="31" t="s">
        <v>10</v>
      </c>
      <c r="O13" s="31">
        <v>60</v>
      </c>
      <c r="P13" s="31">
        <v>8</v>
      </c>
      <c r="Q13" s="31">
        <v>68</v>
      </c>
      <c r="R13" s="31" t="s">
        <v>96</v>
      </c>
      <c r="S13"/>
      <c r="T13"/>
    </row>
    <row r="14" spans="1:53" s="1" customFormat="1">
      <c r="A14" s="2" t="s">
        <v>1</v>
      </c>
      <c r="B14" s="2" t="s">
        <v>2</v>
      </c>
      <c r="C14" s="2" t="s">
        <v>3</v>
      </c>
      <c r="D14" s="2" t="s">
        <v>4</v>
      </c>
      <c r="E14" s="2" t="s">
        <v>5</v>
      </c>
      <c r="F14" s="2" t="s">
        <v>6</v>
      </c>
      <c r="G14" s="2" t="s">
        <v>7</v>
      </c>
      <c r="H14" s="2" t="s">
        <v>88</v>
      </c>
      <c r="J14"/>
      <c r="K14" s="31">
        <v>10</v>
      </c>
      <c r="L14" s="31" t="s">
        <v>32</v>
      </c>
      <c r="M14" s="31" t="s">
        <v>33</v>
      </c>
      <c r="N14" s="31" t="s">
        <v>26</v>
      </c>
      <c r="O14" s="31">
        <v>20</v>
      </c>
      <c r="P14" s="31">
        <v>1</v>
      </c>
      <c r="Q14" s="31">
        <v>21</v>
      </c>
      <c r="R14" s="31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</row>
    <row r="15" spans="1:53" ht="15">
      <c r="A15" s="3">
        <v>1</v>
      </c>
      <c r="B15" s="3" t="s">
        <v>15</v>
      </c>
      <c r="C15" s="3" t="s">
        <v>37</v>
      </c>
      <c r="D15" s="3" t="s">
        <v>10</v>
      </c>
      <c r="E15" s="3">
        <v>1</v>
      </c>
      <c r="F15" s="5">
        <v>6</v>
      </c>
      <c r="G15" s="5">
        <v>4</v>
      </c>
      <c r="H15" s="5">
        <f t="shared" ref="H15:H27" si="1">E15*F15*G15</f>
        <v>24</v>
      </c>
      <c r="K15" s="31">
        <v>11</v>
      </c>
      <c r="L15" s="31" t="s">
        <v>30</v>
      </c>
      <c r="M15" s="31" t="s">
        <v>31</v>
      </c>
      <c r="N15" s="31" t="s">
        <v>10</v>
      </c>
      <c r="O15" s="31">
        <v>254</v>
      </c>
      <c r="P15" s="31">
        <v>3</v>
      </c>
      <c r="Q15" s="31">
        <v>257</v>
      </c>
      <c r="R15" s="31"/>
      <c r="S15"/>
      <c r="T15"/>
    </row>
    <row r="16" spans="1:53" ht="15">
      <c r="A16" s="3">
        <v>2</v>
      </c>
      <c r="B16" s="3" t="s">
        <v>24</v>
      </c>
      <c r="C16" s="3" t="s">
        <v>40</v>
      </c>
      <c r="D16" s="3" t="s">
        <v>10</v>
      </c>
      <c r="E16" s="3">
        <v>1</v>
      </c>
      <c r="F16" s="5">
        <v>6</v>
      </c>
      <c r="G16" s="5">
        <v>4</v>
      </c>
      <c r="H16" s="5">
        <f t="shared" si="1"/>
        <v>24</v>
      </c>
      <c r="K16" s="31">
        <v>12</v>
      </c>
      <c r="L16" s="31" t="s">
        <v>11</v>
      </c>
      <c r="M16" s="31" t="s">
        <v>12</v>
      </c>
      <c r="N16" s="31" t="s">
        <v>10</v>
      </c>
      <c r="O16" s="31">
        <v>36</v>
      </c>
      <c r="P16" s="31">
        <v>1</v>
      </c>
      <c r="Q16" s="31">
        <v>37</v>
      </c>
      <c r="R16" s="31"/>
      <c r="S16"/>
      <c r="T16"/>
    </row>
    <row r="17" spans="1:53" ht="15">
      <c r="A17" s="3">
        <v>3</v>
      </c>
      <c r="B17" s="3" t="s">
        <v>15</v>
      </c>
      <c r="C17" s="3" t="s">
        <v>41</v>
      </c>
      <c r="D17" s="3" t="s">
        <v>10</v>
      </c>
      <c r="E17" s="3">
        <v>1</v>
      </c>
      <c r="F17" s="5">
        <v>6</v>
      </c>
      <c r="G17" s="5">
        <v>4</v>
      </c>
      <c r="H17" s="5">
        <f t="shared" si="1"/>
        <v>24</v>
      </c>
      <c r="K17" s="31">
        <v>13</v>
      </c>
      <c r="L17" s="31" t="s">
        <v>17</v>
      </c>
      <c r="M17" s="31" t="s">
        <v>18</v>
      </c>
      <c r="N17" s="31" t="s">
        <v>19</v>
      </c>
      <c r="O17" s="31">
        <v>576</v>
      </c>
      <c r="P17" s="31">
        <v>12</v>
      </c>
      <c r="Q17" s="31">
        <v>588</v>
      </c>
      <c r="R17" s="31"/>
      <c r="S17"/>
      <c r="T17"/>
    </row>
    <row r="18" spans="1:53" ht="15">
      <c r="A18" s="3">
        <v>4</v>
      </c>
      <c r="B18" s="3" t="s">
        <v>66</v>
      </c>
      <c r="C18" s="3" t="s">
        <v>67</v>
      </c>
      <c r="D18" s="3" t="s">
        <v>10</v>
      </c>
      <c r="E18" s="3">
        <v>3</v>
      </c>
      <c r="F18" s="5">
        <v>6</v>
      </c>
      <c r="G18" s="5">
        <v>4</v>
      </c>
      <c r="H18" s="5">
        <f t="shared" si="1"/>
        <v>72</v>
      </c>
      <c r="K18" s="31">
        <v>14</v>
      </c>
      <c r="L18" s="31" t="s">
        <v>97</v>
      </c>
      <c r="M18" s="31" t="s">
        <v>23</v>
      </c>
      <c r="N18" s="31" t="s">
        <v>10</v>
      </c>
      <c r="O18" s="31">
        <v>36</v>
      </c>
      <c r="P18" s="31">
        <v>1</v>
      </c>
      <c r="Q18" s="31">
        <v>37</v>
      </c>
      <c r="R18" s="31"/>
      <c r="S18"/>
      <c r="T18"/>
    </row>
    <row r="19" spans="1:53" ht="15">
      <c r="A19" s="3">
        <v>5</v>
      </c>
      <c r="B19" s="3" t="s">
        <v>64</v>
      </c>
      <c r="C19" s="3" t="s">
        <v>68</v>
      </c>
      <c r="D19" s="3" t="s">
        <v>10</v>
      </c>
      <c r="E19" s="3">
        <v>4</v>
      </c>
      <c r="F19" s="5">
        <v>6</v>
      </c>
      <c r="G19" s="5">
        <v>4</v>
      </c>
      <c r="H19" s="5">
        <f t="shared" si="1"/>
        <v>96</v>
      </c>
      <c r="K19" s="31">
        <v>15</v>
      </c>
      <c r="L19" s="31" t="s">
        <v>15</v>
      </c>
      <c r="M19" s="31" t="s">
        <v>37</v>
      </c>
      <c r="N19" s="31" t="s">
        <v>10</v>
      </c>
      <c r="O19" s="31">
        <v>24</v>
      </c>
      <c r="P19" s="31">
        <v>1</v>
      </c>
      <c r="Q19" s="31">
        <v>25</v>
      </c>
      <c r="R19" s="31"/>
      <c r="S19"/>
      <c r="T19"/>
    </row>
    <row r="20" spans="1:53" ht="15">
      <c r="A20" s="3">
        <v>6</v>
      </c>
      <c r="B20" s="3" t="s">
        <v>8</v>
      </c>
      <c r="C20" s="3" t="s">
        <v>69</v>
      </c>
      <c r="D20" s="3" t="s">
        <v>10</v>
      </c>
      <c r="E20" s="3">
        <v>2</v>
      </c>
      <c r="F20" s="5">
        <v>6</v>
      </c>
      <c r="G20" s="5">
        <v>4</v>
      </c>
      <c r="H20" s="5">
        <f t="shared" si="1"/>
        <v>48</v>
      </c>
      <c r="K20" s="31">
        <v>16</v>
      </c>
      <c r="L20" s="31" t="s">
        <v>24</v>
      </c>
      <c r="M20" s="31" t="s">
        <v>40</v>
      </c>
      <c r="N20" s="31" t="s">
        <v>10</v>
      </c>
      <c r="O20" s="31">
        <v>24</v>
      </c>
      <c r="P20" s="31">
        <v>1</v>
      </c>
      <c r="Q20" s="31">
        <v>25</v>
      </c>
      <c r="R20" s="31"/>
      <c r="S20"/>
      <c r="T20"/>
    </row>
    <row r="21" spans="1:53" ht="15">
      <c r="A21" s="3">
        <v>7</v>
      </c>
      <c r="B21" s="3" t="s">
        <v>27</v>
      </c>
      <c r="C21" s="3" t="s">
        <v>70</v>
      </c>
      <c r="D21" s="3" t="s">
        <v>19</v>
      </c>
      <c r="E21" s="3">
        <v>32</v>
      </c>
      <c r="F21" s="5">
        <v>6</v>
      </c>
      <c r="G21" s="5">
        <v>4</v>
      </c>
      <c r="H21" s="5">
        <f t="shared" si="1"/>
        <v>768</v>
      </c>
      <c r="K21" s="31">
        <v>17</v>
      </c>
      <c r="L21" s="31" t="s">
        <v>15</v>
      </c>
      <c r="M21" s="31" t="s">
        <v>41</v>
      </c>
      <c r="N21" s="31" t="s">
        <v>10</v>
      </c>
      <c r="O21" s="31">
        <v>24</v>
      </c>
      <c r="P21" s="31">
        <v>1</v>
      </c>
      <c r="Q21" s="31">
        <v>25</v>
      </c>
      <c r="R21" s="31"/>
      <c r="S21"/>
      <c r="T21"/>
    </row>
    <row r="22" spans="1:53" ht="15">
      <c r="A22" s="3">
        <v>8</v>
      </c>
      <c r="B22" s="3" t="s">
        <v>13</v>
      </c>
      <c r="C22" s="3" t="s">
        <v>71</v>
      </c>
      <c r="D22" s="3" t="s">
        <v>10</v>
      </c>
      <c r="E22" s="3">
        <v>2</v>
      </c>
      <c r="F22" s="5">
        <v>6</v>
      </c>
      <c r="G22" s="5">
        <v>4</v>
      </c>
      <c r="H22" s="5">
        <f t="shared" si="1"/>
        <v>48</v>
      </c>
      <c r="K22" s="31">
        <v>18</v>
      </c>
      <c r="L22" s="31" t="s">
        <v>98</v>
      </c>
      <c r="M22" s="31" t="s">
        <v>67</v>
      </c>
      <c r="N22" s="31" t="s">
        <v>10</v>
      </c>
      <c r="O22" s="31">
        <v>72</v>
      </c>
      <c r="P22" s="31">
        <v>1</v>
      </c>
      <c r="Q22" s="31">
        <v>73</v>
      </c>
      <c r="R22" s="31"/>
      <c r="S22"/>
      <c r="T22"/>
    </row>
    <row r="23" spans="1:53" ht="15">
      <c r="A23" s="3">
        <v>9</v>
      </c>
      <c r="B23" s="3" t="s">
        <v>64</v>
      </c>
      <c r="C23" s="3" t="s">
        <v>72</v>
      </c>
      <c r="D23" s="3" t="s">
        <v>10</v>
      </c>
      <c r="E23" s="3">
        <v>1</v>
      </c>
      <c r="F23" s="5">
        <v>6</v>
      </c>
      <c r="G23" s="5">
        <v>4</v>
      </c>
      <c r="H23" s="5">
        <f t="shared" si="1"/>
        <v>24</v>
      </c>
      <c r="K23" s="31">
        <v>19</v>
      </c>
      <c r="L23" s="31" t="s">
        <v>99</v>
      </c>
      <c r="M23" s="31" t="s">
        <v>68</v>
      </c>
      <c r="N23" s="31" t="s">
        <v>10</v>
      </c>
      <c r="O23" s="31">
        <v>96</v>
      </c>
      <c r="P23" s="31">
        <v>1</v>
      </c>
      <c r="Q23" s="31">
        <v>97</v>
      </c>
      <c r="R23" s="31"/>
      <c r="S23"/>
      <c r="T23"/>
    </row>
    <row r="24" spans="1:53" s="1" customFormat="1" ht="15">
      <c r="A24" s="3">
        <v>10</v>
      </c>
      <c r="B24" s="3" t="s">
        <v>42</v>
      </c>
      <c r="C24" s="3" t="s">
        <v>73</v>
      </c>
      <c r="D24" s="3" t="s">
        <v>10</v>
      </c>
      <c r="E24" s="3">
        <v>2</v>
      </c>
      <c r="F24" s="5">
        <v>6</v>
      </c>
      <c r="G24" s="5">
        <v>4</v>
      </c>
      <c r="H24" s="5">
        <f t="shared" si="1"/>
        <v>48</v>
      </c>
      <c r="J24"/>
      <c r="K24" s="31">
        <v>20</v>
      </c>
      <c r="L24" s="31" t="s">
        <v>8</v>
      </c>
      <c r="M24" s="31" t="s">
        <v>69</v>
      </c>
      <c r="N24" s="31" t="s">
        <v>10</v>
      </c>
      <c r="O24" s="31">
        <v>48</v>
      </c>
      <c r="P24" s="31">
        <v>1</v>
      </c>
      <c r="Q24" s="31">
        <v>49</v>
      </c>
      <c r="R24" s="31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</row>
    <row r="25" spans="1:53" ht="15">
      <c r="A25" s="3">
        <v>11</v>
      </c>
      <c r="B25" s="3" t="s">
        <v>74</v>
      </c>
      <c r="C25" s="3" t="s">
        <v>75</v>
      </c>
      <c r="D25" s="3" t="s">
        <v>10</v>
      </c>
      <c r="E25" s="3">
        <v>2</v>
      </c>
      <c r="F25" s="5">
        <v>6</v>
      </c>
      <c r="G25" s="5">
        <v>4</v>
      </c>
      <c r="H25" s="5">
        <f t="shared" si="1"/>
        <v>48</v>
      </c>
      <c r="K25" s="31">
        <v>21</v>
      </c>
      <c r="L25" s="31" t="s">
        <v>27</v>
      </c>
      <c r="M25" s="31" t="s">
        <v>70</v>
      </c>
      <c r="N25" s="31" t="s">
        <v>19</v>
      </c>
      <c r="O25" s="31">
        <v>768</v>
      </c>
      <c r="P25" s="31">
        <v>16</v>
      </c>
      <c r="Q25" s="31">
        <v>784</v>
      </c>
      <c r="R25" s="31"/>
      <c r="S25"/>
      <c r="T25"/>
    </row>
    <row r="26" spans="1:53" ht="15">
      <c r="A26" s="3">
        <v>12</v>
      </c>
      <c r="B26" s="3" t="s">
        <v>15</v>
      </c>
      <c r="C26" s="3" t="s">
        <v>16</v>
      </c>
      <c r="D26" s="3" t="s">
        <v>10</v>
      </c>
      <c r="E26" s="3">
        <v>2</v>
      </c>
      <c r="F26" s="5">
        <v>6</v>
      </c>
      <c r="G26" s="5">
        <v>4</v>
      </c>
      <c r="H26" s="5">
        <f t="shared" si="1"/>
        <v>48</v>
      </c>
      <c r="K26" s="31">
        <v>22</v>
      </c>
      <c r="L26" s="31" t="s">
        <v>13</v>
      </c>
      <c r="M26" s="31" t="s">
        <v>71</v>
      </c>
      <c r="N26" s="31" t="s">
        <v>10</v>
      </c>
      <c r="O26" s="31">
        <v>48</v>
      </c>
      <c r="P26" s="31">
        <v>1</v>
      </c>
      <c r="Q26" s="31">
        <v>49</v>
      </c>
      <c r="R26" s="31"/>
      <c r="S26"/>
      <c r="T26"/>
    </row>
    <row r="27" spans="1:53" ht="15">
      <c r="A27" s="3">
        <v>13</v>
      </c>
      <c r="B27" s="3" t="s">
        <v>20</v>
      </c>
      <c r="C27" s="3" t="s">
        <v>21</v>
      </c>
      <c r="D27" s="3" t="s">
        <v>10</v>
      </c>
      <c r="E27" s="3">
        <v>2</v>
      </c>
      <c r="F27" s="5">
        <v>6</v>
      </c>
      <c r="G27" s="5">
        <v>4</v>
      </c>
      <c r="H27" s="5">
        <f t="shared" si="1"/>
        <v>48</v>
      </c>
      <c r="K27" s="31">
        <v>23</v>
      </c>
      <c r="L27" s="31" t="s">
        <v>99</v>
      </c>
      <c r="M27" s="31" t="s">
        <v>72</v>
      </c>
      <c r="N27" s="31" t="s">
        <v>10</v>
      </c>
      <c r="O27" s="31">
        <v>24</v>
      </c>
      <c r="P27" s="31">
        <v>1</v>
      </c>
      <c r="Q27" s="31">
        <v>25</v>
      </c>
      <c r="R27" s="31"/>
      <c r="S27"/>
      <c r="T27"/>
    </row>
    <row r="28" spans="1:53" ht="15">
      <c r="A28" s="6"/>
      <c r="B28" s="6"/>
      <c r="C28" s="6"/>
      <c r="D28" s="6"/>
      <c r="E28" s="6"/>
      <c r="F28" s="8"/>
      <c r="G28" s="8"/>
      <c r="H28" s="8"/>
      <c r="K28" s="31">
        <v>24</v>
      </c>
      <c r="L28" s="31" t="s">
        <v>42</v>
      </c>
      <c r="M28" s="31" t="s">
        <v>73</v>
      </c>
      <c r="N28" s="31" t="s">
        <v>10</v>
      </c>
      <c r="O28" s="31">
        <v>48</v>
      </c>
      <c r="P28" s="31">
        <v>1</v>
      </c>
      <c r="Q28" s="31">
        <v>49</v>
      </c>
      <c r="R28" s="31"/>
      <c r="S28"/>
      <c r="T28"/>
    </row>
    <row r="29" spans="1:53" ht="14.25">
      <c r="A29" s="16" t="s">
        <v>76</v>
      </c>
      <c r="B29" s="18"/>
      <c r="C29" s="18"/>
      <c r="D29" s="18"/>
      <c r="E29" s="18"/>
      <c r="F29" s="18"/>
      <c r="G29" s="18"/>
      <c r="H29" s="18"/>
      <c r="K29" s="31">
        <v>25</v>
      </c>
      <c r="L29" s="31" t="s">
        <v>74</v>
      </c>
      <c r="M29" s="31" t="s">
        <v>75</v>
      </c>
      <c r="N29" s="31" t="s">
        <v>10</v>
      </c>
      <c r="O29" s="31">
        <v>48</v>
      </c>
      <c r="P29" s="31">
        <v>1</v>
      </c>
      <c r="Q29" s="31">
        <v>49</v>
      </c>
      <c r="R29" s="31"/>
      <c r="S29"/>
      <c r="T29"/>
    </row>
    <row r="30" spans="1:53">
      <c r="A30" s="2" t="s">
        <v>1</v>
      </c>
      <c r="B30" s="2" t="s">
        <v>2</v>
      </c>
      <c r="C30" s="2" t="s">
        <v>3</v>
      </c>
      <c r="D30" s="2" t="s">
        <v>4</v>
      </c>
      <c r="E30" s="2" t="s">
        <v>5</v>
      </c>
      <c r="F30" s="2" t="s">
        <v>6</v>
      </c>
      <c r="G30" s="2" t="s">
        <v>7</v>
      </c>
      <c r="H30" s="2" t="s">
        <v>88</v>
      </c>
      <c r="K30" s="31">
        <v>26</v>
      </c>
      <c r="L30" s="31" t="s">
        <v>98</v>
      </c>
      <c r="M30" s="31" t="s">
        <v>43</v>
      </c>
      <c r="N30" s="31" t="s">
        <v>10</v>
      </c>
      <c r="O30" s="31">
        <v>18</v>
      </c>
      <c r="P30" s="31">
        <v>1</v>
      </c>
      <c r="Q30" s="31">
        <v>19</v>
      </c>
      <c r="R30" s="31"/>
      <c r="S30"/>
      <c r="T30"/>
    </row>
    <row r="31" spans="1:53" ht="15">
      <c r="A31" s="3">
        <v>1</v>
      </c>
      <c r="B31" s="3" t="s">
        <v>15</v>
      </c>
      <c r="C31" s="3" t="s">
        <v>22</v>
      </c>
      <c r="D31" s="3" t="s">
        <v>10</v>
      </c>
      <c r="E31" s="3">
        <v>1</v>
      </c>
      <c r="F31" s="5">
        <v>3</v>
      </c>
      <c r="G31" s="5">
        <v>2</v>
      </c>
      <c r="H31" s="5">
        <f t="shared" ref="H31:H43" si="2">E31*F31*G31</f>
        <v>6</v>
      </c>
      <c r="K31" s="31">
        <v>27</v>
      </c>
      <c r="L31" s="31" t="s">
        <v>99</v>
      </c>
      <c r="M31" s="31" t="s">
        <v>44</v>
      </c>
      <c r="N31" s="31" t="s">
        <v>10</v>
      </c>
      <c r="O31" s="31">
        <v>24</v>
      </c>
      <c r="P31" s="31">
        <v>1</v>
      </c>
      <c r="Q31" s="31">
        <v>25</v>
      </c>
      <c r="R31" s="31"/>
      <c r="S31"/>
      <c r="T31"/>
    </row>
    <row r="32" spans="1:53" ht="15">
      <c r="A32" s="3">
        <v>2</v>
      </c>
      <c r="B32" s="3" t="s">
        <v>24</v>
      </c>
      <c r="C32" s="3" t="s">
        <v>25</v>
      </c>
      <c r="D32" s="3" t="s">
        <v>10</v>
      </c>
      <c r="E32" s="3">
        <v>1</v>
      </c>
      <c r="F32" s="5">
        <v>3</v>
      </c>
      <c r="G32" s="5">
        <v>2</v>
      </c>
      <c r="H32" s="5">
        <f t="shared" si="2"/>
        <v>6</v>
      </c>
      <c r="K32" s="31">
        <v>28</v>
      </c>
      <c r="L32" s="31" t="s">
        <v>99</v>
      </c>
      <c r="M32" s="31" t="s">
        <v>45</v>
      </c>
      <c r="N32" s="31" t="s">
        <v>10</v>
      </c>
      <c r="O32" s="31">
        <v>6</v>
      </c>
      <c r="P32" s="31">
        <v>1</v>
      </c>
      <c r="Q32" s="31">
        <v>7</v>
      </c>
      <c r="R32" s="31"/>
      <c r="S32"/>
      <c r="T32"/>
    </row>
    <row r="33" spans="1:53" ht="15">
      <c r="A33" s="3">
        <v>3</v>
      </c>
      <c r="B33" s="3" t="s">
        <v>15</v>
      </c>
      <c r="C33" s="3" t="s">
        <v>22</v>
      </c>
      <c r="D33" s="3" t="s">
        <v>10</v>
      </c>
      <c r="E33" s="3">
        <v>1</v>
      </c>
      <c r="F33" s="5">
        <v>3</v>
      </c>
      <c r="G33" s="5">
        <v>2</v>
      </c>
      <c r="H33" s="5">
        <f t="shared" si="2"/>
        <v>6</v>
      </c>
      <c r="K33" s="31">
        <v>29</v>
      </c>
      <c r="L33" s="31" t="s">
        <v>42</v>
      </c>
      <c r="M33" s="31" t="s">
        <v>46</v>
      </c>
      <c r="N33" s="31" t="s">
        <v>10</v>
      </c>
      <c r="O33" s="31">
        <v>12</v>
      </c>
      <c r="P33" s="31">
        <v>1</v>
      </c>
      <c r="Q33" s="31">
        <v>13</v>
      </c>
      <c r="R33" s="31"/>
      <c r="S33"/>
      <c r="T33"/>
    </row>
    <row r="34" spans="1:53" ht="15">
      <c r="A34" s="3">
        <v>4</v>
      </c>
      <c r="B34" s="3" t="s">
        <v>66</v>
      </c>
      <c r="C34" s="3" t="s">
        <v>43</v>
      </c>
      <c r="D34" s="3" t="s">
        <v>10</v>
      </c>
      <c r="E34" s="3">
        <v>3</v>
      </c>
      <c r="F34" s="5">
        <v>3</v>
      </c>
      <c r="G34" s="5">
        <v>2</v>
      </c>
      <c r="H34" s="5">
        <f t="shared" si="2"/>
        <v>18</v>
      </c>
      <c r="K34" s="31">
        <v>30</v>
      </c>
      <c r="L34" s="31" t="s">
        <v>74</v>
      </c>
      <c r="M34" s="31" t="s">
        <v>47</v>
      </c>
      <c r="N34" s="31" t="s">
        <v>10</v>
      </c>
      <c r="O34" s="31">
        <v>12</v>
      </c>
      <c r="P34" s="31">
        <v>1</v>
      </c>
      <c r="Q34" s="31">
        <v>13</v>
      </c>
      <c r="R34" s="31"/>
      <c r="S34"/>
      <c r="T34"/>
    </row>
    <row r="35" spans="1:53" ht="15">
      <c r="A35" s="3">
        <v>5</v>
      </c>
      <c r="B35" s="3" t="s">
        <v>64</v>
      </c>
      <c r="C35" s="3" t="s">
        <v>44</v>
      </c>
      <c r="D35" s="3" t="s">
        <v>10</v>
      </c>
      <c r="E35" s="3">
        <v>4</v>
      </c>
      <c r="F35" s="5">
        <v>3</v>
      </c>
      <c r="G35" s="5">
        <v>2</v>
      </c>
      <c r="H35" s="5">
        <f t="shared" si="2"/>
        <v>24</v>
      </c>
      <c r="K35" s="31">
        <v>31</v>
      </c>
      <c r="L35" s="31" t="s">
        <v>15</v>
      </c>
      <c r="M35" s="31" t="s">
        <v>48</v>
      </c>
      <c r="N35" s="31" t="s">
        <v>10</v>
      </c>
      <c r="O35" s="31">
        <v>12</v>
      </c>
      <c r="P35" s="31">
        <v>1</v>
      </c>
      <c r="Q35" s="31">
        <v>13</v>
      </c>
      <c r="R35" s="31"/>
      <c r="S35"/>
      <c r="T35"/>
    </row>
    <row r="36" spans="1:53" ht="15">
      <c r="A36" s="3">
        <v>6</v>
      </c>
      <c r="B36" s="3" t="s">
        <v>8</v>
      </c>
      <c r="C36" s="3" t="s">
        <v>9</v>
      </c>
      <c r="D36" s="3" t="s">
        <v>10</v>
      </c>
      <c r="E36" s="3">
        <v>2</v>
      </c>
      <c r="F36" s="5">
        <v>3</v>
      </c>
      <c r="G36" s="5">
        <v>2</v>
      </c>
      <c r="H36" s="5">
        <f t="shared" si="2"/>
        <v>12</v>
      </c>
      <c r="K36" s="31">
        <v>32</v>
      </c>
      <c r="L36" s="31" t="s">
        <v>78</v>
      </c>
      <c r="M36" s="31" t="s">
        <v>12</v>
      </c>
      <c r="N36" s="31" t="s">
        <v>10</v>
      </c>
      <c r="O36" s="31">
        <v>4</v>
      </c>
      <c r="P36" s="31">
        <v>1</v>
      </c>
      <c r="Q36" s="31">
        <v>5</v>
      </c>
      <c r="R36" s="31"/>
      <c r="S36"/>
      <c r="T36"/>
    </row>
    <row r="37" spans="1:53" ht="15">
      <c r="A37" s="3">
        <v>7</v>
      </c>
      <c r="B37" s="3" t="s">
        <v>27</v>
      </c>
      <c r="C37" s="3" t="s">
        <v>18</v>
      </c>
      <c r="D37" s="3" t="s">
        <v>19</v>
      </c>
      <c r="E37" s="3">
        <v>32</v>
      </c>
      <c r="F37" s="5">
        <v>3</v>
      </c>
      <c r="G37" s="5">
        <v>2</v>
      </c>
      <c r="H37" s="5">
        <f t="shared" si="2"/>
        <v>192</v>
      </c>
      <c r="K37" s="31">
        <v>33</v>
      </c>
      <c r="L37" s="31" t="s">
        <v>49</v>
      </c>
      <c r="M37" s="31" t="s">
        <v>50</v>
      </c>
      <c r="N37" s="31" t="s">
        <v>26</v>
      </c>
      <c r="O37" s="31">
        <v>4</v>
      </c>
      <c r="P37" s="31">
        <v>1</v>
      </c>
      <c r="Q37" s="31">
        <v>5</v>
      </c>
      <c r="R37" s="31"/>
      <c r="S37"/>
      <c r="T37"/>
    </row>
    <row r="38" spans="1:53" ht="15">
      <c r="A38" s="3">
        <v>8</v>
      </c>
      <c r="B38" s="3" t="s">
        <v>13</v>
      </c>
      <c r="C38" s="3" t="s">
        <v>14</v>
      </c>
      <c r="D38" s="3" t="s">
        <v>10</v>
      </c>
      <c r="E38" s="3">
        <v>2</v>
      </c>
      <c r="F38" s="5">
        <v>3</v>
      </c>
      <c r="G38" s="5">
        <v>2</v>
      </c>
      <c r="H38" s="5">
        <f t="shared" si="2"/>
        <v>12</v>
      </c>
      <c r="K38" s="31">
        <v>34</v>
      </c>
      <c r="L38" s="31" t="s">
        <v>51</v>
      </c>
      <c r="M38" s="31" t="s">
        <v>52</v>
      </c>
      <c r="N38" s="31" t="s">
        <v>53</v>
      </c>
      <c r="O38" s="31">
        <v>32</v>
      </c>
      <c r="P38" s="31">
        <v>1</v>
      </c>
      <c r="Q38" s="31">
        <v>33</v>
      </c>
      <c r="R38" s="31"/>
      <c r="S38"/>
      <c r="T38"/>
    </row>
    <row r="39" spans="1:53" ht="15">
      <c r="A39" s="3">
        <v>9</v>
      </c>
      <c r="B39" s="3" t="s">
        <v>64</v>
      </c>
      <c r="C39" s="3" t="s">
        <v>45</v>
      </c>
      <c r="D39" s="3" t="s">
        <v>10</v>
      </c>
      <c r="E39" s="3">
        <v>1</v>
      </c>
      <c r="F39" s="5">
        <v>3</v>
      </c>
      <c r="G39" s="5">
        <v>2</v>
      </c>
      <c r="H39" s="5">
        <f t="shared" si="2"/>
        <v>6</v>
      </c>
      <c r="K39" s="31">
        <v>35</v>
      </c>
      <c r="L39" s="31" t="s">
        <v>80</v>
      </c>
      <c r="M39" s="31" t="s">
        <v>81</v>
      </c>
      <c r="N39" s="31" t="s">
        <v>10</v>
      </c>
      <c r="O39" s="31">
        <v>12</v>
      </c>
      <c r="P39" s="31">
        <v>1</v>
      </c>
      <c r="Q39" s="31">
        <v>13</v>
      </c>
      <c r="R39" s="31"/>
      <c r="S39"/>
      <c r="T39"/>
    </row>
    <row r="40" spans="1:53" s="1" customFormat="1" ht="15">
      <c r="A40" s="3">
        <v>10</v>
      </c>
      <c r="B40" s="3" t="s">
        <v>42</v>
      </c>
      <c r="C40" s="3" t="s">
        <v>46</v>
      </c>
      <c r="D40" s="3" t="s">
        <v>10</v>
      </c>
      <c r="E40" s="3">
        <v>2</v>
      </c>
      <c r="F40" s="5">
        <v>3</v>
      </c>
      <c r="G40" s="5">
        <v>2</v>
      </c>
      <c r="H40" s="5">
        <f t="shared" si="2"/>
        <v>12</v>
      </c>
      <c r="J40"/>
      <c r="K40" s="31">
        <v>36</v>
      </c>
      <c r="L40" s="31" t="s">
        <v>54</v>
      </c>
      <c r="M40" s="31" t="s">
        <v>55</v>
      </c>
      <c r="N40" s="31" t="s">
        <v>10</v>
      </c>
      <c r="O40" s="31">
        <v>12</v>
      </c>
      <c r="P40" s="31">
        <v>1</v>
      </c>
      <c r="Q40" s="31">
        <v>13</v>
      </c>
      <c r="R40" s="31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</row>
    <row r="41" spans="1:53" ht="15">
      <c r="A41" s="3">
        <v>11</v>
      </c>
      <c r="B41" s="3" t="s">
        <v>74</v>
      </c>
      <c r="C41" s="3" t="s">
        <v>47</v>
      </c>
      <c r="D41" s="3" t="s">
        <v>10</v>
      </c>
      <c r="E41" s="3">
        <v>2</v>
      </c>
      <c r="F41" s="5">
        <v>3</v>
      </c>
      <c r="G41" s="5">
        <v>2</v>
      </c>
      <c r="H41" s="5">
        <f t="shared" si="2"/>
        <v>12</v>
      </c>
      <c r="K41" s="31">
        <v>37</v>
      </c>
      <c r="L41" s="31" t="s">
        <v>58</v>
      </c>
      <c r="M41" s="31" t="s">
        <v>85</v>
      </c>
      <c r="N41" s="31" t="s">
        <v>10</v>
      </c>
      <c r="O41" s="31">
        <v>204</v>
      </c>
      <c r="P41" s="31">
        <v>3</v>
      </c>
      <c r="Q41" s="31">
        <v>207</v>
      </c>
      <c r="R41" s="31"/>
      <c r="S41"/>
      <c r="T41"/>
    </row>
    <row r="42" spans="1:53" ht="15">
      <c r="A42" s="3">
        <v>12</v>
      </c>
      <c r="B42" s="3" t="s">
        <v>15</v>
      </c>
      <c r="C42" s="3" t="s">
        <v>48</v>
      </c>
      <c r="D42" s="3" t="s">
        <v>10</v>
      </c>
      <c r="E42" s="3">
        <v>2</v>
      </c>
      <c r="F42" s="5">
        <v>3</v>
      </c>
      <c r="G42" s="5">
        <v>2</v>
      </c>
      <c r="H42" s="5">
        <f t="shared" si="2"/>
        <v>12</v>
      </c>
      <c r="K42" s="31">
        <v>38</v>
      </c>
      <c r="L42" s="31" t="s">
        <v>59</v>
      </c>
      <c r="M42" s="31" t="s">
        <v>86</v>
      </c>
      <c r="N42" s="31" t="s">
        <v>10</v>
      </c>
      <c r="O42" s="31">
        <v>82</v>
      </c>
      <c r="P42" s="31">
        <v>1</v>
      </c>
      <c r="Q42" s="31">
        <v>83</v>
      </c>
      <c r="R42" s="31"/>
      <c r="S42"/>
      <c r="T42"/>
    </row>
    <row r="43" spans="1:53" ht="15">
      <c r="A43" s="3">
        <v>13</v>
      </c>
      <c r="B43" s="3" t="s">
        <v>20</v>
      </c>
      <c r="C43" s="3" t="s">
        <v>21</v>
      </c>
      <c r="D43" s="3" t="s">
        <v>10</v>
      </c>
      <c r="E43" s="3">
        <v>2</v>
      </c>
      <c r="F43" s="5">
        <v>3</v>
      </c>
      <c r="G43" s="5">
        <v>2</v>
      </c>
      <c r="H43" s="5">
        <f t="shared" si="2"/>
        <v>12</v>
      </c>
      <c r="K43" s="32" t="s">
        <v>100</v>
      </c>
      <c r="L43" s="33"/>
      <c r="M43" s="33"/>
      <c r="N43" s="33"/>
      <c r="O43" s="33"/>
      <c r="P43" s="33"/>
      <c r="Q43" s="33"/>
      <c r="R43" s="34"/>
      <c r="S43"/>
      <c r="T43"/>
    </row>
    <row r="44" spans="1:53" ht="15">
      <c r="A44" s="6"/>
      <c r="B44" s="6"/>
      <c r="C44" s="6"/>
      <c r="D44" s="6"/>
      <c r="E44" s="7"/>
      <c r="F44" s="8"/>
      <c r="G44" s="8"/>
      <c r="H44" s="8"/>
      <c r="K44" s="31" t="s">
        <v>1</v>
      </c>
      <c r="L44" s="31" t="s">
        <v>2</v>
      </c>
      <c r="M44" s="31" t="s">
        <v>3</v>
      </c>
      <c r="N44" s="31" t="s">
        <v>4</v>
      </c>
      <c r="O44" s="31" t="s">
        <v>91</v>
      </c>
      <c r="P44" s="31" t="s">
        <v>92</v>
      </c>
      <c r="Q44" s="31" t="s">
        <v>93</v>
      </c>
      <c r="R44" s="31" t="s">
        <v>94</v>
      </c>
      <c r="S44"/>
      <c r="T44"/>
    </row>
    <row r="45" spans="1:53" ht="15.75" customHeight="1">
      <c r="A45" s="17" t="s">
        <v>77</v>
      </c>
      <c r="B45" s="19"/>
      <c r="C45" s="19"/>
      <c r="D45" s="19"/>
      <c r="E45" s="19"/>
      <c r="F45" s="19"/>
      <c r="G45" s="19"/>
      <c r="H45" s="19"/>
      <c r="K45" s="31">
        <v>1</v>
      </c>
      <c r="L45" s="31" t="s">
        <v>34</v>
      </c>
      <c r="M45" s="31" t="s">
        <v>35</v>
      </c>
      <c r="N45" s="31" t="s">
        <v>10</v>
      </c>
      <c r="O45" s="31">
        <v>20</v>
      </c>
      <c r="P45" s="31">
        <v>1</v>
      </c>
      <c r="Q45" s="31">
        <v>21</v>
      </c>
      <c r="R45" s="31"/>
      <c r="S45"/>
      <c r="T45"/>
    </row>
    <row r="46" spans="1:53">
      <c r="A46" s="2" t="s">
        <v>1</v>
      </c>
      <c r="B46" s="2" t="s">
        <v>2</v>
      </c>
      <c r="C46" s="9" t="s">
        <v>3</v>
      </c>
      <c r="D46" s="9" t="s">
        <v>4</v>
      </c>
      <c r="E46" s="9" t="s">
        <v>5</v>
      </c>
      <c r="F46" s="9" t="s">
        <v>6</v>
      </c>
      <c r="G46" s="9" t="s">
        <v>7</v>
      </c>
      <c r="H46" s="2" t="s">
        <v>88</v>
      </c>
      <c r="K46" s="31">
        <v>2</v>
      </c>
      <c r="L46" s="31" t="s">
        <v>36</v>
      </c>
      <c r="M46" s="31" t="s">
        <v>35</v>
      </c>
      <c r="N46" s="31" t="s">
        <v>26</v>
      </c>
      <c r="O46" s="31">
        <v>20</v>
      </c>
      <c r="P46" s="31">
        <v>1</v>
      </c>
      <c r="Q46" s="31">
        <v>21</v>
      </c>
      <c r="R46" s="31"/>
      <c r="S46"/>
      <c r="T46"/>
    </row>
    <row r="47" spans="1:53" ht="15">
      <c r="A47" s="3">
        <v>1</v>
      </c>
      <c r="B47" s="3" t="s">
        <v>78</v>
      </c>
      <c r="C47" s="3" t="s">
        <v>12</v>
      </c>
      <c r="D47" s="3" t="s">
        <v>10</v>
      </c>
      <c r="E47" s="3">
        <v>2</v>
      </c>
      <c r="F47" s="5">
        <v>1</v>
      </c>
      <c r="G47" s="5">
        <v>2</v>
      </c>
      <c r="H47" s="5">
        <f>G47*F47*E47</f>
        <v>4</v>
      </c>
      <c r="K47" s="31">
        <v>3</v>
      </c>
      <c r="L47" s="31" t="s">
        <v>36</v>
      </c>
      <c r="M47" s="31" t="s">
        <v>101</v>
      </c>
      <c r="N47" s="31" t="s">
        <v>26</v>
      </c>
      <c r="O47" s="31">
        <v>20</v>
      </c>
      <c r="P47" s="31">
        <v>1</v>
      </c>
      <c r="Q47" s="31">
        <v>21</v>
      </c>
      <c r="R47" s="31"/>
      <c r="S47"/>
      <c r="T47"/>
    </row>
    <row r="48" spans="1:53" ht="15">
      <c r="A48" s="3">
        <v>2</v>
      </c>
      <c r="B48" s="3" t="s">
        <v>8</v>
      </c>
      <c r="C48" s="3" t="s">
        <v>9</v>
      </c>
      <c r="D48" s="3" t="s">
        <v>10</v>
      </c>
      <c r="E48" s="3">
        <v>2</v>
      </c>
      <c r="F48" s="5">
        <v>1</v>
      </c>
      <c r="G48" s="5">
        <v>2</v>
      </c>
      <c r="H48" s="5">
        <f t="shared" ref="H48:H53" si="3">G48*F48*E48</f>
        <v>4</v>
      </c>
      <c r="K48" s="31">
        <v>4</v>
      </c>
      <c r="L48" s="31" t="s">
        <v>99</v>
      </c>
      <c r="M48" s="31" t="s">
        <v>102</v>
      </c>
      <c r="N48" s="31" t="s">
        <v>26</v>
      </c>
      <c r="O48" s="31">
        <v>36</v>
      </c>
      <c r="P48" s="31">
        <v>1</v>
      </c>
      <c r="Q48" s="31">
        <v>37</v>
      </c>
      <c r="R48" s="31"/>
      <c r="S48"/>
      <c r="T48"/>
    </row>
    <row r="49" spans="1:20" ht="15">
      <c r="A49" s="3">
        <v>3</v>
      </c>
      <c r="B49" s="3" t="s">
        <v>27</v>
      </c>
      <c r="C49" s="3" t="s">
        <v>18</v>
      </c>
      <c r="D49" s="3" t="s">
        <v>19</v>
      </c>
      <c r="E49" s="3">
        <v>32</v>
      </c>
      <c r="F49" s="5">
        <v>1</v>
      </c>
      <c r="G49" s="5">
        <v>2</v>
      </c>
      <c r="H49" s="5">
        <f t="shared" si="3"/>
        <v>64</v>
      </c>
      <c r="K49" s="31">
        <v>5</v>
      </c>
      <c r="L49" s="31" t="s">
        <v>28</v>
      </c>
      <c r="M49" s="31" t="s">
        <v>29</v>
      </c>
      <c r="N49" s="31" t="s">
        <v>26</v>
      </c>
      <c r="O49" s="31">
        <v>36</v>
      </c>
      <c r="P49" s="31">
        <v>1</v>
      </c>
      <c r="Q49" s="31">
        <v>37</v>
      </c>
      <c r="R49" s="31"/>
      <c r="S49"/>
      <c r="T49"/>
    </row>
    <row r="50" spans="1:20" ht="15">
      <c r="A50" s="3">
        <v>4</v>
      </c>
      <c r="B50" s="3" t="s">
        <v>13</v>
      </c>
      <c r="C50" s="3" t="s">
        <v>14</v>
      </c>
      <c r="D50" s="3" t="s">
        <v>10</v>
      </c>
      <c r="E50" s="3">
        <v>2</v>
      </c>
      <c r="F50" s="5">
        <v>1</v>
      </c>
      <c r="G50" s="5">
        <v>2</v>
      </c>
      <c r="H50" s="5">
        <f t="shared" si="3"/>
        <v>4</v>
      </c>
      <c r="K50" s="31">
        <v>6</v>
      </c>
      <c r="L50" s="31" t="s">
        <v>56</v>
      </c>
      <c r="M50" s="31" t="s">
        <v>57</v>
      </c>
      <c r="N50" s="31" t="s">
        <v>26</v>
      </c>
      <c r="O50" s="31">
        <v>12</v>
      </c>
      <c r="P50" s="31">
        <v>1</v>
      </c>
      <c r="Q50" s="31">
        <v>13</v>
      </c>
      <c r="R50" s="31"/>
      <c r="S50"/>
      <c r="T50"/>
    </row>
    <row r="51" spans="1:20" ht="15">
      <c r="A51" s="3">
        <v>5</v>
      </c>
      <c r="B51" s="3" t="s">
        <v>49</v>
      </c>
      <c r="C51" s="3" t="s">
        <v>50</v>
      </c>
      <c r="D51" s="3" t="s">
        <v>26</v>
      </c>
      <c r="E51" s="3">
        <v>2</v>
      </c>
      <c r="F51" s="5">
        <v>1</v>
      </c>
      <c r="G51" s="5">
        <v>2</v>
      </c>
      <c r="H51" s="5">
        <f t="shared" si="3"/>
        <v>4</v>
      </c>
      <c r="K51"/>
      <c r="L51"/>
      <c r="M51"/>
      <c r="N51"/>
      <c r="O51"/>
      <c r="P51"/>
      <c r="Q51"/>
      <c r="R51"/>
      <c r="S51"/>
      <c r="T51"/>
    </row>
    <row r="52" spans="1:20" ht="15">
      <c r="A52" s="3">
        <v>6</v>
      </c>
      <c r="B52" s="3" t="s">
        <v>51</v>
      </c>
      <c r="C52" s="3" t="s">
        <v>52</v>
      </c>
      <c r="D52" s="3" t="s">
        <v>53</v>
      </c>
      <c r="E52" s="3">
        <v>16</v>
      </c>
      <c r="F52" s="5">
        <v>1</v>
      </c>
      <c r="G52" s="5">
        <v>2</v>
      </c>
      <c r="H52" s="5">
        <f t="shared" si="3"/>
        <v>32</v>
      </c>
      <c r="K52"/>
      <c r="L52"/>
      <c r="M52"/>
      <c r="N52"/>
      <c r="O52"/>
      <c r="P52"/>
      <c r="Q52"/>
      <c r="R52"/>
      <c r="S52"/>
      <c r="T52"/>
    </row>
    <row r="53" spans="1:20" ht="15">
      <c r="A53" s="3">
        <v>7</v>
      </c>
      <c r="B53" s="3" t="s">
        <v>30</v>
      </c>
      <c r="C53" s="3" t="s">
        <v>31</v>
      </c>
      <c r="D53" s="3" t="s">
        <v>10</v>
      </c>
      <c r="E53" s="3">
        <v>5</v>
      </c>
      <c r="F53" s="5">
        <v>1</v>
      </c>
      <c r="G53" s="5">
        <v>2</v>
      </c>
      <c r="H53" s="5">
        <f t="shared" si="3"/>
        <v>10</v>
      </c>
      <c r="K53"/>
      <c r="L53"/>
      <c r="M53"/>
      <c r="N53"/>
      <c r="O53"/>
      <c r="P53"/>
      <c r="Q53"/>
      <c r="R53"/>
      <c r="S53"/>
      <c r="T53"/>
    </row>
    <row r="54" spans="1:20" ht="15">
      <c r="A54" s="6"/>
      <c r="B54" s="7"/>
      <c r="C54" s="7"/>
      <c r="D54" s="7"/>
      <c r="E54" s="7"/>
      <c r="F54" s="8"/>
      <c r="G54" s="8"/>
      <c r="H54" s="8"/>
      <c r="K54"/>
      <c r="L54"/>
      <c r="M54"/>
      <c r="N54"/>
      <c r="O54"/>
      <c r="P54"/>
      <c r="Q54"/>
      <c r="R54"/>
      <c r="S54"/>
      <c r="T54"/>
    </row>
    <row r="55" spans="1:20" ht="14.25">
      <c r="A55" s="16" t="s">
        <v>79</v>
      </c>
      <c r="B55" s="18"/>
      <c r="C55" s="18"/>
      <c r="D55" s="18"/>
      <c r="E55" s="18"/>
      <c r="F55" s="18"/>
      <c r="G55" s="18"/>
      <c r="H55" s="18"/>
      <c r="K55"/>
      <c r="L55"/>
      <c r="M55"/>
      <c r="N55"/>
      <c r="O55"/>
      <c r="P55"/>
      <c r="Q55"/>
      <c r="R55"/>
      <c r="S55"/>
      <c r="T55"/>
    </row>
    <row r="56" spans="1:20">
      <c r="A56" s="20" t="s">
        <v>1</v>
      </c>
      <c r="B56" s="20" t="s">
        <v>2</v>
      </c>
      <c r="C56" s="20" t="s">
        <v>3</v>
      </c>
      <c r="D56" s="20" t="s">
        <v>4</v>
      </c>
      <c r="E56" s="20" t="s">
        <v>5</v>
      </c>
      <c r="F56" s="20" t="s">
        <v>6</v>
      </c>
      <c r="G56" s="20" t="s">
        <v>7</v>
      </c>
      <c r="H56" s="2" t="s">
        <v>88</v>
      </c>
      <c r="K56"/>
      <c r="L56"/>
      <c r="M56"/>
      <c r="N56"/>
      <c r="O56"/>
      <c r="P56"/>
      <c r="Q56"/>
      <c r="R56"/>
      <c r="S56"/>
      <c r="T56"/>
    </row>
    <row r="57" spans="1:20">
      <c r="A57" s="21">
        <v>1</v>
      </c>
      <c r="B57" s="20" t="s">
        <v>80</v>
      </c>
      <c r="C57" s="21" t="s">
        <v>81</v>
      </c>
      <c r="D57" s="20" t="s">
        <v>10</v>
      </c>
      <c r="E57" s="21">
        <v>1</v>
      </c>
      <c r="F57" s="21">
        <v>2</v>
      </c>
      <c r="G57" s="21">
        <v>6</v>
      </c>
      <c r="H57" s="21">
        <f>E57*F57*G57</f>
        <v>12</v>
      </c>
      <c r="K57"/>
      <c r="L57"/>
      <c r="M57"/>
      <c r="N57"/>
      <c r="O57"/>
      <c r="P57"/>
      <c r="Q57"/>
      <c r="R57"/>
      <c r="S57"/>
      <c r="T57"/>
    </row>
    <row r="58" spans="1:20">
      <c r="A58" s="21">
        <v>2</v>
      </c>
      <c r="B58" s="20" t="s">
        <v>54</v>
      </c>
      <c r="C58" s="21" t="s">
        <v>55</v>
      </c>
      <c r="D58" s="20" t="s">
        <v>10</v>
      </c>
      <c r="E58" s="21">
        <v>1</v>
      </c>
      <c r="F58" s="21">
        <v>2</v>
      </c>
      <c r="G58" s="21">
        <v>6</v>
      </c>
      <c r="H58" s="21">
        <f t="shared" ref="H58:H69" si="4">E58*F58*G58</f>
        <v>12</v>
      </c>
      <c r="K58"/>
      <c r="L58"/>
      <c r="M58"/>
      <c r="N58"/>
      <c r="O58"/>
      <c r="P58"/>
      <c r="Q58"/>
      <c r="R58"/>
      <c r="S58"/>
      <c r="T58"/>
    </row>
    <row r="59" spans="1:20">
      <c r="A59" s="21">
        <v>3</v>
      </c>
      <c r="B59" s="20" t="s">
        <v>56</v>
      </c>
      <c r="C59" s="21" t="s">
        <v>57</v>
      </c>
      <c r="D59" s="20" t="s">
        <v>26</v>
      </c>
      <c r="E59" s="21">
        <v>1</v>
      </c>
      <c r="F59" s="21">
        <v>2</v>
      </c>
      <c r="G59" s="21">
        <v>6</v>
      </c>
      <c r="H59" s="21">
        <f t="shared" si="4"/>
        <v>12</v>
      </c>
      <c r="K59"/>
      <c r="L59"/>
      <c r="M59"/>
      <c r="N59"/>
      <c r="O59"/>
      <c r="P59"/>
      <c r="Q59"/>
      <c r="R59"/>
      <c r="S59"/>
      <c r="T59"/>
    </row>
    <row r="60" spans="1:20" ht="15">
      <c r="A60" s="8"/>
      <c r="B60" s="10"/>
      <c r="C60" s="8"/>
      <c r="D60" s="10"/>
      <c r="E60" s="8"/>
      <c r="F60" s="8"/>
      <c r="G60" s="8"/>
      <c r="H60" s="8"/>
      <c r="K60"/>
      <c r="L60"/>
      <c r="M60"/>
      <c r="N60"/>
      <c r="O60"/>
      <c r="P60"/>
      <c r="Q60"/>
      <c r="R60"/>
      <c r="S60"/>
      <c r="T60"/>
    </row>
    <row r="61" spans="1:20" ht="14.25">
      <c r="A61" s="16" t="s">
        <v>82</v>
      </c>
      <c r="B61" s="18"/>
      <c r="C61" s="18"/>
      <c r="D61" s="18"/>
      <c r="E61" s="18"/>
      <c r="F61" s="18"/>
      <c r="G61" s="18"/>
      <c r="H61" s="18"/>
      <c r="K61"/>
      <c r="L61"/>
      <c r="M61"/>
      <c r="N61"/>
      <c r="O61"/>
      <c r="P61"/>
      <c r="Q61"/>
      <c r="R61"/>
      <c r="S61"/>
      <c r="T61"/>
    </row>
    <row r="62" spans="1:20">
      <c r="A62" s="20" t="s">
        <v>1</v>
      </c>
      <c r="B62" s="20" t="s">
        <v>2</v>
      </c>
      <c r="C62" s="20" t="s">
        <v>3</v>
      </c>
      <c r="D62" s="20" t="s">
        <v>4</v>
      </c>
      <c r="E62" s="20" t="s">
        <v>5</v>
      </c>
      <c r="F62" s="20" t="s">
        <v>6</v>
      </c>
      <c r="G62" s="20" t="s">
        <v>7</v>
      </c>
      <c r="H62" s="2" t="s">
        <v>88</v>
      </c>
      <c r="K62"/>
      <c r="L62"/>
      <c r="M62"/>
      <c r="N62"/>
      <c r="O62"/>
      <c r="P62"/>
      <c r="Q62"/>
      <c r="R62"/>
      <c r="S62"/>
      <c r="T62"/>
    </row>
    <row r="63" spans="1:20">
      <c r="A63" s="21">
        <v>1</v>
      </c>
      <c r="B63" s="20" t="s">
        <v>15</v>
      </c>
      <c r="C63" s="21" t="s">
        <v>16</v>
      </c>
      <c r="D63" s="20" t="s">
        <v>10</v>
      </c>
      <c r="E63" s="21">
        <v>1</v>
      </c>
      <c r="F63" s="21">
        <v>4</v>
      </c>
      <c r="G63" s="21">
        <v>4</v>
      </c>
      <c r="H63" s="21">
        <f t="shared" si="4"/>
        <v>16</v>
      </c>
      <c r="K63"/>
      <c r="L63"/>
      <c r="M63"/>
      <c r="N63"/>
      <c r="O63"/>
      <c r="P63"/>
      <c r="Q63"/>
      <c r="R63"/>
      <c r="S63"/>
      <c r="T63"/>
    </row>
    <row r="64" spans="1:20">
      <c r="A64" s="21">
        <v>2</v>
      </c>
      <c r="B64" s="20" t="s">
        <v>15</v>
      </c>
      <c r="C64" s="21" t="s">
        <v>22</v>
      </c>
      <c r="D64" s="20" t="s">
        <v>10</v>
      </c>
      <c r="E64" s="21">
        <v>2</v>
      </c>
      <c r="F64" s="21">
        <v>4</v>
      </c>
      <c r="G64" s="21">
        <v>4</v>
      </c>
      <c r="H64" s="21">
        <f t="shared" si="4"/>
        <v>32</v>
      </c>
      <c r="K64"/>
      <c r="L64"/>
      <c r="M64"/>
      <c r="N64"/>
      <c r="O64"/>
      <c r="P64"/>
      <c r="Q64"/>
      <c r="R64"/>
      <c r="S64"/>
      <c r="T64"/>
    </row>
    <row r="65" spans="1:20">
      <c r="A65" s="21">
        <v>3</v>
      </c>
      <c r="B65" s="20" t="s">
        <v>32</v>
      </c>
      <c r="C65" s="21" t="s">
        <v>33</v>
      </c>
      <c r="D65" s="20" t="s">
        <v>26</v>
      </c>
      <c r="E65" s="21">
        <v>1</v>
      </c>
      <c r="F65" s="21">
        <v>4</v>
      </c>
      <c r="G65" s="21">
        <v>4</v>
      </c>
      <c r="H65" s="21">
        <f t="shared" si="4"/>
        <v>16</v>
      </c>
      <c r="K65"/>
      <c r="L65"/>
      <c r="M65"/>
      <c r="N65"/>
      <c r="O65"/>
      <c r="P65"/>
      <c r="Q65"/>
      <c r="R65"/>
      <c r="S65"/>
      <c r="T65"/>
    </row>
    <row r="66" spans="1:20">
      <c r="A66" s="21">
        <v>4</v>
      </c>
      <c r="B66" s="20" t="s">
        <v>24</v>
      </c>
      <c r="C66" s="21" t="s">
        <v>25</v>
      </c>
      <c r="D66" s="20" t="s">
        <v>10</v>
      </c>
      <c r="E66" s="21">
        <v>1</v>
      </c>
      <c r="F66" s="21">
        <v>4</v>
      </c>
      <c r="G66" s="21">
        <v>4</v>
      </c>
      <c r="H66" s="21">
        <f t="shared" si="4"/>
        <v>16</v>
      </c>
      <c r="K66"/>
      <c r="L66"/>
      <c r="M66"/>
      <c r="N66"/>
      <c r="O66"/>
      <c r="P66"/>
      <c r="Q66"/>
      <c r="R66"/>
      <c r="S66"/>
      <c r="T66"/>
    </row>
    <row r="67" spans="1:20">
      <c r="A67" s="21">
        <v>5</v>
      </c>
      <c r="B67" s="20" t="s">
        <v>34</v>
      </c>
      <c r="C67" s="26" t="s">
        <v>35</v>
      </c>
      <c r="D67" s="20" t="s">
        <v>10</v>
      </c>
      <c r="E67" s="21">
        <v>1</v>
      </c>
      <c r="F67" s="21">
        <v>4</v>
      </c>
      <c r="G67" s="21">
        <v>4</v>
      </c>
      <c r="H67" s="21">
        <f t="shared" si="4"/>
        <v>16</v>
      </c>
      <c r="K67"/>
      <c r="L67"/>
      <c r="M67"/>
      <c r="N67"/>
      <c r="O67"/>
      <c r="P67"/>
      <c r="Q67"/>
      <c r="R67"/>
      <c r="S67"/>
      <c r="T67"/>
    </row>
    <row r="68" spans="1:20">
      <c r="A68" s="21">
        <v>6</v>
      </c>
      <c r="B68" s="20" t="s">
        <v>36</v>
      </c>
      <c r="C68" s="27"/>
      <c r="D68" s="20" t="s">
        <v>26</v>
      </c>
      <c r="E68" s="21">
        <v>1</v>
      </c>
      <c r="F68" s="21">
        <v>4</v>
      </c>
      <c r="G68" s="21">
        <v>4</v>
      </c>
      <c r="H68" s="21">
        <f t="shared" si="4"/>
        <v>16</v>
      </c>
      <c r="K68"/>
      <c r="L68"/>
      <c r="M68"/>
      <c r="N68"/>
      <c r="O68"/>
      <c r="P68"/>
      <c r="Q68"/>
      <c r="R68"/>
      <c r="S68"/>
      <c r="T68"/>
    </row>
    <row r="69" spans="1:20">
      <c r="A69" s="21">
        <v>7</v>
      </c>
      <c r="B69" s="20" t="s">
        <v>38</v>
      </c>
      <c r="C69" s="21" t="s">
        <v>39</v>
      </c>
      <c r="D69" s="20" t="s">
        <v>10</v>
      </c>
      <c r="E69" s="21">
        <v>1</v>
      </c>
      <c r="F69" s="21">
        <v>4</v>
      </c>
      <c r="G69" s="21">
        <v>4</v>
      </c>
      <c r="H69" s="21">
        <f t="shared" si="4"/>
        <v>16</v>
      </c>
      <c r="K69"/>
      <c r="L69"/>
      <c r="M69"/>
      <c r="N69"/>
      <c r="O69"/>
      <c r="P69"/>
      <c r="Q69"/>
      <c r="R69"/>
      <c r="S69"/>
      <c r="T69"/>
    </row>
    <row r="70" spans="1:20" ht="14.25">
      <c r="A70" s="15"/>
      <c r="B70" s="11"/>
      <c r="C70" s="11"/>
      <c r="D70" s="11"/>
      <c r="E70" s="12"/>
      <c r="F70" s="11"/>
      <c r="G70" s="11"/>
      <c r="H70" s="11"/>
      <c r="K70"/>
      <c r="L70"/>
      <c r="M70"/>
      <c r="N70"/>
      <c r="O70"/>
      <c r="P70"/>
      <c r="Q70"/>
      <c r="R70"/>
      <c r="S70"/>
      <c r="T70"/>
    </row>
    <row r="71" spans="1:20" ht="14.25">
      <c r="A71" s="16" t="s">
        <v>83</v>
      </c>
      <c r="B71" s="18"/>
      <c r="C71" s="18"/>
      <c r="D71" s="18"/>
      <c r="E71" s="18"/>
      <c r="F71" s="18"/>
      <c r="G71" s="18"/>
      <c r="H71" s="18"/>
      <c r="K71"/>
      <c r="L71"/>
      <c r="M71"/>
      <c r="N71"/>
      <c r="O71"/>
      <c r="P71"/>
      <c r="Q71"/>
      <c r="R71"/>
      <c r="S71"/>
      <c r="T71"/>
    </row>
    <row r="72" spans="1:20">
      <c r="A72" s="20" t="s">
        <v>1</v>
      </c>
      <c r="B72" s="20" t="s">
        <v>2</v>
      </c>
      <c r="C72" s="20" t="s">
        <v>3</v>
      </c>
      <c r="D72" s="20" t="s">
        <v>4</v>
      </c>
      <c r="E72" s="20" t="s">
        <v>5</v>
      </c>
      <c r="F72" s="20" t="s">
        <v>6</v>
      </c>
      <c r="G72" s="20" t="s">
        <v>7</v>
      </c>
      <c r="H72" s="2" t="s">
        <v>88</v>
      </c>
      <c r="K72"/>
      <c r="L72"/>
      <c r="M72"/>
      <c r="N72"/>
      <c r="O72"/>
      <c r="P72"/>
      <c r="Q72"/>
      <c r="R72"/>
      <c r="S72"/>
      <c r="T72"/>
    </row>
    <row r="73" spans="1:20">
      <c r="A73" s="21">
        <v>1</v>
      </c>
      <c r="B73" s="20" t="s">
        <v>15</v>
      </c>
      <c r="C73" s="21" t="s">
        <v>22</v>
      </c>
      <c r="D73" s="20" t="s">
        <v>10</v>
      </c>
      <c r="E73" s="21">
        <v>1</v>
      </c>
      <c r="F73" s="21">
        <v>2</v>
      </c>
      <c r="G73" s="21">
        <v>2</v>
      </c>
      <c r="H73" s="21">
        <f t="shared" ref="H73:H79" si="5">E73*F73*G73</f>
        <v>4</v>
      </c>
      <c r="K73"/>
      <c r="L73"/>
      <c r="M73"/>
      <c r="N73"/>
      <c r="O73"/>
      <c r="P73"/>
      <c r="Q73"/>
      <c r="R73"/>
      <c r="S73"/>
      <c r="T73"/>
    </row>
    <row r="74" spans="1:20">
      <c r="A74" s="21">
        <v>2</v>
      </c>
      <c r="B74" s="20" t="s">
        <v>15</v>
      </c>
      <c r="C74" s="21" t="s">
        <v>22</v>
      </c>
      <c r="D74" s="20" t="s">
        <v>10</v>
      </c>
      <c r="E74" s="21">
        <v>2</v>
      </c>
      <c r="F74" s="21">
        <v>2</v>
      </c>
      <c r="G74" s="21">
        <v>2</v>
      </c>
      <c r="H74" s="21">
        <f t="shared" si="5"/>
        <v>8</v>
      </c>
      <c r="K74"/>
      <c r="L74"/>
      <c r="M74"/>
      <c r="N74"/>
      <c r="O74"/>
      <c r="P74"/>
      <c r="Q74"/>
      <c r="R74"/>
      <c r="S74"/>
      <c r="T74"/>
    </row>
    <row r="75" spans="1:20">
      <c r="A75" s="21">
        <v>3</v>
      </c>
      <c r="B75" s="20" t="s">
        <v>32</v>
      </c>
      <c r="C75" s="21" t="s">
        <v>33</v>
      </c>
      <c r="D75" s="20" t="s">
        <v>26</v>
      </c>
      <c r="E75" s="21">
        <v>1</v>
      </c>
      <c r="F75" s="21">
        <v>2</v>
      </c>
      <c r="G75" s="21">
        <v>2</v>
      </c>
      <c r="H75" s="21">
        <f t="shared" si="5"/>
        <v>4</v>
      </c>
      <c r="K75"/>
      <c r="L75"/>
      <c r="M75"/>
      <c r="N75"/>
      <c r="O75"/>
      <c r="P75"/>
      <c r="Q75"/>
      <c r="R75"/>
      <c r="S75"/>
      <c r="T75"/>
    </row>
    <row r="76" spans="1:20">
      <c r="A76" s="21">
        <v>4</v>
      </c>
      <c r="B76" s="20" t="s">
        <v>24</v>
      </c>
      <c r="C76" s="21" t="s">
        <v>25</v>
      </c>
      <c r="D76" s="20" t="s">
        <v>10</v>
      </c>
      <c r="E76" s="21">
        <v>1</v>
      </c>
      <c r="F76" s="21">
        <v>2</v>
      </c>
      <c r="G76" s="21">
        <v>2</v>
      </c>
      <c r="H76" s="21">
        <f t="shared" si="5"/>
        <v>4</v>
      </c>
      <c r="K76"/>
      <c r="L76"/>
      <c r="M76"/>
      <c r="N76"/>
      <c r="O76"/>
      <c r="P76"/>
      <c r="Q76"/>
      <c r="R76"/>
      <c r="S76"/>
      <c r="T76"/>
    </row>
    <row r="77" spans="1:20">
      <c r="A77" s="21">
        <v>5</v>
      </c>
      <c r="B77" s="20" t="s">
        <v>34</v>
      </c>
      <c r="C77" s="26" t="s">
        <v>35</v>
      </c>
      <c r="D77" s="20" t="s">
        <v>10</v>
      </c>
      <c r="E77" s="21">
        <v>1</v>
      </c>
      <c r="F77" s="21">
        <v>2</v>
      </c>
      <c r="G77" s="21">
        <v>2</v>
      </c>
      <c r="H77" s="21">
        <f t="shared" si="5"/>
        <v>4</v>
      </c>
      <c r="K77"/>
      <c r="L77"/>
      <c r="M77"/>
      <c r="N77"/>
      <c r="O77"/>
      <c r="P77"/>
      <c r="Q77"/>
      <c r="R77"/>
      <c r="S77"/>
      <c r="T77"/>
    </row>
    <row r="78" spans="1:20">
      <c r="A78" s="21">
        <v>6</v>
      </c>
      <c r="B78" s="20" t="s">
        <v>36</v>
      </c>
      <c r="C78" s="27"/>
      <c r="D78" s="20" t="s">
        <v>26</v>
      </c>
      <c r="E78" s="21">
        <v>1</v>
      </c>
      <c r="F78" s="21">
        <v>2</v>
      </c>
      <c r="G78" s="21">
        <v>2</v>
      </c>
      <c r="H78" s="21">
        <f t="shared" si="5"/>
        <v>4</v>
      </c>
      <c r="K78"/>
      <c r="L78"/>
      <c r="M78"/>
      <c r="N78"/>
      <c r="O78"/>
      <c r="P78"/>
      <c r="Q78"/>
      <c r="R78"/>
      <c r="S78"/>
      <c r="T78"/>
    </row>
    <row r="79" spans="1:20">
      <c r="A79" s="21">
        <v>7</v>
      </c>
      <c r="B79" s="20" t="s">
        <v>38</v>
      </c>
      <c r="C79" s="21" t="s">
        <v>39</v>
      </c>
      <c r="D79" s="20" t="s">
        <v>10</v>
      </c>
      <c r="E79" s="21">
        <v>1</v>
      </c>
      <c r="F79" s="21">
        <v>2</v>
      </c>
      <c r="G79" s="21">
        <v>2</v>
      </c>
      <c r="H79" s="21">
        <f t="shared" si="5"/>
        <v>4</v>
      </c>
      <c r="K79"/>
      <c r="L79"/>
      <c r="M79"/>
      <c r="N79"/>
      <c r="O79"/>
      <c r="P79"/>
      <c r="Q79"/>
      <c r="R79"/>
      <c r="S79"/>
      <c r="T79"/>
    </row>
    <row r="80" spans="1:20" ht="14.25">
      <c r="A80" s="15"/>
      <c r="B80" s="11"/>
      <c r="C80" s="11"/>
      <c r="D80" s="11"/>
      <c r="E80" s="12"/>
      <c r="F80" s="11"/>
      <c r="G80" s="11"/>
      <c r="H80" s="11"/>
      <c r="K80"/>
      <c r="L80"/>
      <c r="M80"/>
      <c r="N80"/>
      <c r="O80"/>
      <c r="P80"/>
      <c r="Q80"/>
      <c r="R80"/>
      <c r="S80"/>
      <c r="T80"/>
    </row>
    <row r="81" spans="1:20" ht="15.75">
      <c r="A81" s="13" t="s">
        <v>84</v>
      </c>
      <c r="B81" s="13"/>
      <c r="C81" s="13"/>
      <c r="D81" s="13"/>
      <c r="E81" s="13"/>
      <c r="F81" s="13"/>
      <c r="G81" s="13"/>
      <c r="H81" s="13"/>
      <c r="K81"/>
      <c r="L81"/>
      <c r="M81"/>
      <c r="N81"/>
      <c r="O81"/>
      <c r="P81"/>
      <c r="Q81"/>
      <c r="R81"/>
      <c r="S81"/>
      <c r="T81"/>
    </row>
    <row r="82" spans="1:20">
      <c r="A82" s="20" t="s">
        <v>1</v>
      </c>
      <c r="B82" s="20" t="s">
        <v>2</v>
      </c>
      <c r="C82" s="20" t="s">
        <v>3</v>
      </c>
      <c r="D82" s="20" t="s">
        <v>4</v>
      </c>
      <c r="E82" s="20" t="s">
        <v>5</v>
      </c>
      <c r="F82" s="20" t="s">
        <v>6</v>
      </c>
      <c r="G82" s="20" t="s">
        <v>7</v>
      </c>
      <c r="H82" s="20" t="s">
        <v>62</v>
      </c>
      <c r="K82"/>
      <c r="L82"/>
      <c r="M82"/>
      <c r="N82"/>
      <c r="O82"/>
      <c r="P82"/>
      <c r="Q82"/>
      <c r="R82"/>
      <c r="S82"/>
      <c r="T82"/>
    </row>
    <row r="83" spans="1:20">
      <c r="A83" s="21">
        <v>1</v>
      </c>
      <c r="B83" s="22" t="s">
        <v>58</v>
      </c>
      <c r="C83" s="23" t="s">
        <v>85</v>
      </c>
      <c r="D83" s="22" t="s">
        <v>10</v>
      </c>
      <c r="E83" s="21"/>
      <c r="F83" s="21"/>
      <c r="G83" s="21"/>
      <c r="H83" s="21">
        <v>204</v>
      </c>
      <c r="K83"/>
      <c r="L83"/>
      <c r="M83"/>
      <c r="N83"/>
      <c r="O83"/>
      <c r="P83"/>
      <c r="Q83"/>
      <c r="R83"/>
      <c r="S83"/>
      <c r="T83"/>
    </row>
    <row r="84" spans="1:20">
      <c r="A84" s="21">
        <v>2</v>
      </c>
      <c r="B84" s="22" t="s">
        <v>59</v>
      </c>
      <c r="C84" s="23" t="s">
        <v>86</v>
      </c>
      <c r="D84" s="22" t="s">
        <v>10</v>
      </c>
      <c r="E84" s="21"/>
      <c r="F84" s="21"/>
      <c r="G84" s="21"/>
      <c r="H84" s="21">
        <v>82</v>
      </c>
      <c r="K84"/>
      <c r="L84"/>
      <c r="M84"/>
      <c r="N84"/>
      <c r="O84"/>
      <c r="P84"/>
      <c r="Q84"/>
      <c r="R84"/>
      <c r="S84"/>
      <c r="T84"/>
    </row>
    <row r="85" spans="1:20">
      <c r="A85" s="21">
        <v>3</v>
      </c>
      <c r="B85" s="22" t="s">
        <v>30</v>
      </c>
      <c r="C85" s="23" t="s">
        <v>31</v>
      </c>
      <c r="D85" s="4" t="s">
        <v>10</v>
      </c>
      <c r="E85" s="21"/>
      <c r="F85" s="21"/>
      <c r="G85" s="21"/>
      <c r="H85" s="21">
        <v>244</v>
      </c>
      <c r="K85"/>
      <c r="L85"/>
      <c r="M85"/>
      <c r="N85"/>
      <c r="O85"/>
      <c r="P85"/>
      <c r="Q85"/>
      <c r="R85"/>
      <c r="S85"/>
      <c r="T85"/>
    </row>
    <row r="86" spans="1:20">
      <c r="A86" s="21">
        <v>4</v>
      </c>
      <c r="B86" s="21" t="s">
        <v>60</v>
      </c>
      <c r="C86" s="21" t="s">
        <v>61</v>
      </c>
      <c r="D86" s="21" t="s">
        <v>10</v>
      </c>
      <c r="E86" s="21"/>
      <c r="F86" s="21"/>
      <c r="G86" s="21"/>
      <c r="H86" s="21">
        <v>12</v>
      </c>
      <c r="K86"/>
      <c r="L86"/>
      <c r="M86"/>
      <c r="N86"/>
      <c r="O86"/>
      <c r="P86"/>
      <c r="Q86"/>
      <c r="R86"/>
      <c r="S86"/>
      <c r="T86"/>
    </row>
    <row r="87" spans="1:20">
      <c r="A87" s="21">
        <v>4</v>
      </c>
      <c r="B87" s="21" t="s">
        <v>60</v>
      </c>
      <c r="C87" s="21" t="s">
        <v>61</v>
      </c>
      <c r="D87" s="21" t="s">
        <v>10</v>
      </c>
      <c r="E87" s="21"/>
      <c r="F87" s="21"/>
      <c r="G87" s="21"/>
      <c r="H87" s="21">
        <v>12</v>
      </c>
      <c r="K87"/>
      <c r="L87"/>
      <c r="M87"/>
      <c r="N87"/>
      <c r="O87"/>
      <c r="P87"/>
      <c r="Q87"/>
      <c r="R87"/>
      <c r="S87"/>
      <c r="T87"/>
    </row>
    <row r="88" spans="1:20">
      <c r="K88"/>
      <c r="L88"/>
      <c r="M88"/>
      <c r="N88"/>
      <c r="O88"/>
      <c r="P88"/>
      <c r="Q88"/>
      <c r="R88"/>
      <c r="S88"/>
      <c r="T88"/>
    </row>
    <row r="89" spans="1:20" ht="14.25">
      <c r="A89" s="16"/>
      <c r="B89" s="18"/>
      <c r="C89" s="18"/>
      <c r="D89" s="18"/>
      <c r="E89" s="18"/>
      <c r="F89" s="18"/>
      <c r="G89" s="18"/>
      <c r="H89" s="18"/>
      <c r="K89"/>
      <c r="L89"/>
      <c r="M89"/>
      <c r="N89"/>
      <c r="O89"/>
      <c r="P89"/>
      <c r="Q89"/>
      <c r="R89"/>
      <c r="S89"/>
      <c r="T89"/>
    </row>
  </sheetData>
  <protectedRanges>
    <protectedRange sqref="A1:H2" name="区域1_4"/>
    <protectedRange sqref="A81 A80:H80 B73:B74 B57:B58 B63:B64" name="区域1_1"/>
    <protectedRange sqref="B45:H45 D48:E48 F47:H53 A45:A53 B46:G46" name="区域1_1_1_2"/>
  </protectedRanges>
  <mergeCells count="6">
    <mergeCell ref="K43:R43"/>
    <mergeCell ref="K1:R2"/>
    <mergeCell ref="A1:H2"/>
    <mergeCell ref="C67:C68"/>
    <mergeCell ref="C77:C78"/>
    <mergeCell ref="K3:R3"/>
  </mergeCells>
  <phoneticPr fontId="1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"/>
  <sheetViews>
    <sheetView topLeftCell="A4" workbookViewId="0">
      <selection activeCell="B28" sqref="B28"/>
    </sheetView>
  </sheetViews>
  <sheetFormatPr defaultColWidth="9" defaultRowHeight="13.5"/>
  <cols>
    <col min="1" max="1" width="44.25" bestFit="1" customWidth="1"/>
    <col min="2" max="2" width="45.375" bestFit="1" customWidth="1"/>
  </cols>
  <sheetData>
    <row r="1" spans="2:2">
      <c r="B1" s="14"/>
    </row>
  </sheetData>
  <phoneticPr fontId="14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9" defaultRowHeight="13.5"/>
  <sheetData/>
  <phoneticPr fontId="14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2021-02-22T08:01:00Z</dcterms:created>
  <dcterms:modified xsi:type="dcterms:W3CDTF">2021-03-09T09:48:25Z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